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Aztec Well Servicing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5" i="1"/>
  <c r="E6" i="1"/>
  <c r="C17" i="1"/>
  <c r="O6" i="1"/>
  <c r="O7" i="1" s="1"/>
  <c r="L7" i="1"/>
  <c r="E8" i="1"/>
  <c r="E9" i="1"/>
  <c r="E12" i="1"/>
  <c r="E13" i="1"/>
  <c r="E17" i="1" l="1"/>
  <c r="E19" i="1" s="1"/>
  <c r="G19" i="1" s="1"/>
  <c r="I19" i="1" s="1"/>
  <c r="G14" i="1"/>
  <c r="G5" i="1" l="1"/>
  <c r="I5" i="1" s="1"/>
  <c r="G6" i="1"/>
  <c r="G7" i="1"/>
  <c r="I7" i="1" s="1"/>
  <c r="G8" i="1"/>
  <c r="I8" i="1" s="1"/>
  <c r="G9" i="1"/>
  <c r="G10" i="1"/>
  <c r="G11" i="1"/>
  <c r="I11" i="1" s="1"/>
  <c r="G12" i="1"/>
  <c r="I12" i="1" s="1"/>
  <c r="G13" i="1"/>
  <c r="I13" i="1" s="1"/>
  <c r="G4" i="1"/>
  <c r="I4" i="1" s="1"/>
  <c r="I10" i="1" l="1"/>
  <c r="G17" i="1"/>
  <c r="I17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<sst xmlns="http://schemas.openxmlformats.org/spreadsheetml/2006/main" count="18" uniqueCount="18">
  <si>
    <t>Supplemental Type Certificate(s)</t>
  </si>
  <si>
    <t>New TDR-94D Transponders</t>
  </si>
  <si>
    <t>Upgrade RTU 42XX</t>
  </si>
  <si>
    <t>Upgrade GPS-4000S GPS (1)</t>
  </si>
  <si>
    <t>Sensor Systems GPS Antenna</t>
  </si>
  <si>
    <t>New IOC-3100 Concentrator (2)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</si>
  <si>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</si>
  <si>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</si>
  <si>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</si>
  <si>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</si>
  <si>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</si>
  <si>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</si>
  <si>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</si>
  <si>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</si>
  <si>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</si>
  <si>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Drawings</t>
  </si>
  <si>
    <t>Hours</t>
  </si>
  <si>
    <t>Installation 60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</si>
</sst>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2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P24"/>
  <sheetViews>
    <sheetView tabSelected="1" workbookViewId="0">
      <selection activeCell="K16" sqref="K16"/>
    </sheetView>
  </sheetViews>
  <sheetFormatPr defaultRowHeight="15" x14ac:dyDescent="0.25"/>
  <cols>
    <col min="2" max="2" width="31.42578125" customWidth="1"/>
    <col min="3" max="3" width="22.42578125" style="6" customWidth="1"/>
    <col min="4" max="4" width="2.140625" style="6" customWidth="1"/>
    <col min="5" max="5" width="20.5703125" style="6" customWidth="1"/>
    <col min="6" max="6" width="1.7109375" style="6" customWidth="1"/>
    <col min="7" max="7" width="18.85546875" style="6" customWidth="1"/>
    <col min="8" max="8" width="2" style="6" customWidth="1"/>
    <col min="9" max="9" width="11.85546875" style="6" bestFit="1" customWidth="1"/>
  </cols>
  <sheetData>
    <row r="3" spans="2:16" x14ac:dyDescent="0.25">
      <c r="B3" s="1"/>
      <c r="C3" s="10" t="s">
        <v>10</v>
      </c>
      <c r="D3" s="10"/>
      <c r="E3" s="11" t="s">
        <v>11</v>
      </c>
      <c r="F3" s="11"/>
      <c r="G3" s="10" t="s">
        <v>12</v>
      </c>
      <c r="H3" s="10"/>
      <c r="I3" s="10" t="s">
        <v>13</v>
      </c>
    </row>
    <row r="4" spans="2:16" x14ac:dyDescent="0.25">
      <c r="B4" s="2" t="s">
        <v>0</v>
      </c>
      <c r="C4" s="5">
        <v>15000</v>
      </c>
      <c r="D4" s="5"/>
      <c r="E4" s="5">
        <v>15000</v>
      </c>
      <c r="F4" s="5"/>
      <c r="G4" s="9">
        <f>E4-C4</f>
        <v>0</v>
      </c>
      <c r="H4" s="9"/>
      <c r="I4" s="12">
        <f>G4/E4</f>
        <v>0</v>
      </c>
      <c r="L4">
        <v>4</v>
      </c>
      <c r="M4" t="s">
        <v>15</v>
      </c>
      <c r="O4">
        <v>60</v>
      </c>
      <c r="P4" t="s">
        <v>16</v>
      </c>
    </row>
    <row r="5" spans="2:16" x14ac:dyDescent="0.25">
      <c r="B5" s="3" t="s">
        <v>1</v>
      </c>
      <c r="C5" s="5">
        <v>32280</v>
      </c>
      <c r="D5" s="5"/>
      <c r="E5" s="5">
        <f>C5*1.111</f>
        <v>35863.08</v>
      </c>
      <c r="F5" s="5"/>
      <c r="G5" s="9">
        <f t="shared" ref="G5:G14" si="0">E5-C5</f>
        <v>3583.0800000000017</v>
      </c>
      <c r="H5" s="9"/>
      <c r="I5" s="12">
        <f>G5/E5</f>
        <v>9.990999099909996E-2</v>
      </c>
      <c r="L5">
        <v>4</v>
      </c>
      <c r="O5">
        <v>45</v>
      </c>
    </row>
    <row r="6" spans="2:16" x14ac:dyDescent="0.25">
      <c r="B6" s="3" t="s">
        <v>2</v>
      </c>
      <c r="C6" s="5">
        <v>0</v>
      </c>
      <c r="D6" s="5"/>
      <c r="E6" s="5">
        <f>C6*1.176</f>
        <v>0</v>
      </c>
      <c r="F6" s="5"/>
      <c r="G6" s="9">
        <f t="shared" si="0"/>
        <v>0</v>
      </c>
      <c r="H6" s="9"/>
      <c r="I6" s="12"/>
      <c r="L6">
        <v>85</v>
      </c>
      <c r="O6">
        <f>O4*O5</f>
        <v>2700</v>
      </c>
    </row>
    <row r="7" spans="2:16" x14ac:dyDescent="0.25">
      <c r="B7" s="3" t="s">
        <v>3</v>
      </c>
      <c r="C7" s="5">
        <v>14396</v>
      </c>
      <c r="D7" s="5"/>
      <c r="E7" s="5">
        <f>C7*1.111</f>
        <v>15993.956</v>
      </c>
      <c r="F7" s="5"/>
      <c r="G7" s="9">
        <f t="shared" si="0"/>
        <v>1597.9560000000001</v>
      </c>
      <c r="H7" s="9"/>
      <c r="I7" s="12">
        <f>G7/E7</f>
        <v>9.9909990999099918E-2</v>
      </c>
      <c r="L7">
        <f>L4*L5*L6</f>
        <v>1360</v>
      </c>
      <c r="O7">
        <f>O6*0.05</f>
        <v>135</v>
      </c>
    </row>
    <row r="8" spans="2:16" x14ac:dyDescent="0.25">
      <c r="B8" s="3" t="s">
        <v>4</v>
      </c>
      <c r="C8" s="5">
        <v>800</v>
      </c>
      <c r="D8" s="5"/>
      <c r="E8" s="5">
        <f t="shared" ref="E8:E13" si="1">C8*1.176</f>
        <v>940.8</v>
      </c>
      <c r="F8" s="5"/>
      <c r="G8" s="9">
        <f t="shared" si="0"/>
        <v>140.79999999999995</v>
      </c>
      <c r="H8" s="9"/>
      <c r="I8" s="12">
        <f>G8/E8</f>
        <v>0.1496598639455782</v>
      </c>
    </row>
    <row r="9" spans="2:16" x14ac:dyDescent="0.25">
      <c r="B9" s="3" t="s">
        <v>5</v>
      </c>
      <c r="C9" s="5">
        <v>0</v>
      </c>
      <c r="D9" s="5"/>
      <c r="E9" s="5">
        <f t="shared" si="1"/>
        <v>0</v>
      </c>
      <c r="F9" s="5"/>
      <c r="G9" s="9">
        <f t="shared" si="0"/>
        <v>0</v>
      </c>
      <c r="H9" s="9"/>
      <c r="I9" s="12"/>
    </row>
    <row r="10" spans="2:16" x14ac:dyDescent="0.25">
      <c r="B10" s="3" t="s">
        <v>17</v>
      </c>
      <c r="C10" s="5">
        <v>2700</v>
      </c>
      <c r="D10" s="5"/>
      <c r="E10" s="5">
        <v>4800</v>
      </c>
      <c r="F10" s="5"/>
      <c r="G10" s="9">
        <f t="shared" si="0"/>
        <v>2100</v>
      </c>
      <c r="H10" s="9"/>
      <c r="I10" s="12">
        <f>G10/E10</f>
        <v>0.4375</v>
      </c>
    </row>
    <row r="11" spans="2:16" x14ac:dyDescent="0.25">
      <c r="B11" s="3" t="s">
        <v>6</v>
      </c>
      <c r="C11" s="5">
        <v>125</v>
      </c>
      <c r="D11" s="5"/>
      <c r="E11" s="5">
        <v>125</v>
      </c>
      <c r="F11" s="5"/>
      <c r="G11" s="9">
        <f t="shared" si="0"/>
        <v>0</v>
      </c>
      <c r="H11" s="9"/>
      <c r="I11" s="12">
        <f>G11/E11</f>
        <v>0</v>
      </c>
    </row>
    <row r="12" spans="2:16" x14ac:dyDescent="0.25">
      <c r="B12" s="3" t="s">
        <v>7</v>
      </c>
      <c r="C12" s="5">
        <v>250</v>
      </c>
      <c r="D12" s="5"/>
      <c r="E12" s="5">
        <f t="shared" si="1"/>
        <v>294</v>
      </c>
      <c r="F12" s="5"/>
      <c r="G12" s="9">
        <f t="shared" si="0"/>
        <v>44</v>
      </c>
      <c r="H12" s="9"/>
      <c r="I12" s="12">
        <f>G12/E12</f>
        <v>0.14965986394557823</v>
      </c>
    </row>
    <row r="13" spans="2:16" x14ac:dyDescent="0.25">
      <c r="B13" s="3" t="s">
        <v>8</v>
      </c>
      <c r="C13" s="5">
        <v>1350</v>
      </c>
      <c r="D13" s="5"/>
      <c r="E13" s="5">
        <f t="shared" si="1"/>
        <v>1587.6</v>
      </c>
      <c r="F13" s="5"/>
      <c r="G13" s="9">
        <f t="shared" si="0"/>
        <v>237.59999999999991</v>
      </c>
      <c r="H13" s="9"/>
      <c r="I13" s="12">
        <f>G13/E13</f>
        <v>0.14965986394557818</v>
      </c>
    </row>
    <row r="14" spans="2:16" x14ac:dyDescent="0.25">
      <c r="B14" s="3" t="s">
        <v>14</v>
      </c>
      <c r="C14" s="5">
        <v>-2000</v>
      </c>
      <c r="D14" s="5"/>
      <c r="E14" s="5">
        <v>0</v>
      </c>
      <c r="F14" s="5"/>
      <c r="G14" s="9">
        <f t="shared" si="0"/>
        <v>2000</v>
      </c>
      <c r="H14" s="9"/>
      <c r="I14" s="12"/>
    </row>
    <row r="15" spans="2:16" x14ac:dyDescent="0.25">
      <c r="B15" s="3"/>
      <c r="C15" s="5"/>
      <c r="D15" s="5"/>
      <c r="E15" s="5"/>
      <c r="F15" s="5"/>
      <c r="G15" s="9"/>
      <c r="H15" s="9"/>
      <c r="I15" s="12"/>
    </row>
    <row r="16" spans="2:16" ht="15.75" thickBot="1" x14ac:dyDescent="0.3">
      <c r="B16" s="4"/>
      <c r="C16" s="5"/>
      <c r="D16" s="5"/>
      <c r="E16" s="7"/>
      <c r="F16" s="7"/>
      <c r="G16" s="9"/>
      <c r="H16" s="9"/>
      <c r="I16" s="12"/>
    </row>
    <row r="17" spans="2:9" ht="15.75" thickTop="1" x14ac:dyDescent="0.25">
      <c r="B17" s="4" t="s">
        <v>9</v>
      </c>
      <c r="C17" s="8">
        <f>SUM(C4:C16)</f>
        <v>64901</v>
      </c>
      <c r="D17" s="5"/>
      <c r="E17" s="8">
        <f>SUM(E4:E16)</f>
        <v>74604.436000000016</v>
      </c>
      <c r="F17" s="7"/>
      <c r="G17" s="8">
        <f>SUM(G4:G16)</f>
        <v>9703.4360000000015</v>
      </c>
      <c r="H17" s="7"/>
      <c r="I17" s="12">
        <f>G17/E17</f>
        <v>0.13006513446465837</v>
      </c>
    </row>
    <row r="18" spans="2:9" x14ac:dyDescent="0.25">
      <c r="E18" s="5">
        <v>-2500</v>
      </c>
      <c r="I18" s="12"/>
    </row>
    <row r="19" spans="2:9" x14ac:dyDescent="0.25">
      <c r="E19" s="5">
        <f>E17+E18</f>
        <v>72104.436000000016</v>
      </c>
      <c r="G19" s="9">
        <f>E19-C17</f>
        <v>7203.4360000000161</v>
      </c>
      <c r="I19" s="12">
        <f>G19/E19</f>
        <v>9.9902813191687881E-2</v>
      </c>
    </row>
    <row r="20" spans="2:9" x14ac:dyDescent="0.25">
      <c r="I20" s="12"/>
    </row>
    <row r="21" spans="2:9" x14ac:dyDescent="0.25">
      <c r="I21" s="12"/>
    </row>
    <row r="22" spans="2:9" x14ac:dyDescent="0.25">
      <c r="I22" s="12"/>
    </row>
    <row r="23" spans="2:9" x14ac:dyDescent="0.25">
      <c r="I23" s="12"/>
    </row>
    <row r="24" spans="2:9" x14ac:dyDescent="0.25">
      <c r="I24" s="1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2016-10-21T16:04:06Z</dcterms:modified>
</cp:coreProperties>
</file>