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Fremont Motors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5" i="1"/>
  <c r="E34" i="1"/>
  <c r="E7" i="1"/>
  <c r="E41" i="1" l="1"/>
  <c r="G41" i="1" s="1"/>
  <c r="I41" i="1" s="1"/>
  <c r="C49" i="1"/>
  <c r="G46" i="1"/>
  <c r="G45" i="1"/>
  <c r="I45" i="1" s="1"/>
  <c r="E45" i="1"/>
  <c r="E44" i="1"/>
  <c r="G44" i="1" s="1"/>
  <c r="I44" i="1" s="1"/>
  <c r="G43" i="1"/>
  <c r="I43" i="1" s="1"/>
  <c r="G42" i="1"/>
  <c r="I42" i="1" s="1"/>
  <c r="E40" i="1"/>
  <c r="G40" i="1" s="1"/>
  <c r="I40" i="1" s="1"/>
  <c r="E39" i="1"/>
  <c r="G39" i="1" s="1"/>
  <c r="I39" i="1" s="1"/>
  <c r="G38" i="1"/>
  <c r="I38" i="1" s="1"/>
  <c r="E38" i="1"/>
  <c r="E37" i="1"/>
  <c r="G37" i="1" s="1"/>
  <c r="I37" i="1" s="1"/>
  <c r="E36" i="1"/>
  <c r="G36" i="1" s="1"/>
  <c r="I36" i="1" s="1"/>
  <c r="E35" i="1"/>
  <c r="G35" i="1" s="1"/>
  <c r="I35" i="1" s="1"/>
  <c r="G34" i="1"/>
  <c r="I34" i="1" s="1"/>
  <c r="E33" i="1"/>
  <c r="G33" i="1" s="1"/>
  <c r="I33" i="1" s="1"/>
  <c r="G32" i="1"/>
  <c r="I32" i="1" l="1"/>
  <c r="G49" i="1"/>
  <c r="E49" i="1"/>
  <c r="E54" i="1" s="1"/>
  <c r="C21" i="1"/>
  <c r="K8" i="1"/>
  <c r="N7" i="1"/>
  <c r="N8" i="1" s="1"/>
  <c r="G7" i="1"/>
  <c r="I7" i="1" s="1"/>
  <c r="G10" i="1"/>
  <c r="I10" i="1" s="1"/>
  <c r="G11" i="1"/>
  <c r="I11" i="1" s="1"/>
  <c r="E8" i="1"/>
  <c r="G8" i="1" s="1"/>
  <c r="I8" i="1" s="1"/>
  <c r="E9" i="1"/>
  <c r="G9" i="1" s="1"/>
  <c r="I9" i="1" s="1"/>
  <c r="E10" i="1"/>
  <c r="E11" i="1"/>
  <c r="G5" i="1"/>
  <c r="I5" i="1" s="1"/>
  <c r="E6" i="1"/>
  <c r="G6" i="1" s="1"/>
  <c r="I6" i="1" s="1"/>
  <c r="I49" i="1" l="1"/>
  <c r="D10" i="2"/>
  <c r="E16" i="1" l="1"/>
  <c r="E13" i="1" l="1"/>
  <c r="G13" i="1" s="1"/>
  <c r="I13" i="1" s="1"/>
  <c r="E17" i="1"/>
  <c r="E21" i="1" s="1"/>
  <c r="E26" i="1" s="1"/>
  <c r="E12" i="1"/>
  <c r="G12" i="1" s="1"/>
  <c r="G18" i="1" l="1"/>
  <c r="I12" i="1" l="1"/>
  <c r="G14" i="1"/>
  <c r="I14" i="1" s="1"/>
  <c r="G15" i="1"/>
  <c r="I15" i="1" s="1"/>
  <c r="G16" i="1"/>
  <c r="I16" i="1" s="1"/>
  <c r="G17" i="1"/>
  <c r="G21" i="1" l="1"/>
  <c r="I21" i="1" s="1"/>
  <c r="I17" i="1"/>
</calcChain>
</file>

<file path=xl/sharedStrings.xml><?xml version="1.0" encoding="utf-8"?>
<sst xmlns="http://schemas.openxmlformats.org/spreadsheetml/2006/main" count="46" uniqueCount="26">
  <si>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</si>
  <si>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</si>
  <si>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</si>
  <si>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</si>
  <si>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</si>
  <si>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</si>
  <si>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</si>
  <si>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</si>
  <si>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</si>
  <si>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</si>
  <si>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</si>
  <si>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Flight Stream 210</t>
  </si>
  <si>
    <t>Garmin GTN-650</t>
  </si>
  <si>
    <t>Trade In</t>
  </si>
  <si>
    <t>less Flat Rate Cert</t>
  </si>
  <si>
    <t>less 25%</t>
  </si>
  <si>
    <t>Hours</t>
  </si>
  <si>
    <t>Garmin 400W GPS (ILS Price)</t>
  </si>
  <si>
    <t>Garmin GMA-350</t>
  </si>
  <si>
    <t>Garmin GTN-750</t>
  </si>
  <si>
    <t>Avidyne EX5000</t>
  </si>
  <si>
    <t>Installation 150 Hrs</t>
  </si>
  <si>
    <t>* Chartview</t>
  </si>
  <si>
    <t>* 16 Watt Enable</t>
  </si>
  <si>
    <t>GTX 335 Transponder</t>
  </si>
  <si>
    <t>GTX 345 Transponder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</si>
</sst>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4"/>
  <sheetViews>
    <sheetView tabSelected="1" topLeftCell="A28" workbookViewId="0">
      <selection activeCell="E41" sqref="E41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3" max="13" width="10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14" t="s">
        <v>20</v>
      </c>
      <c r="C5" s="4">
        <v>11200</v>
      </c>
      <c r="D5" s="4"/>
      <c r="E5" s="4">
        <f>C5*1.111</f>
        <v>12443.2</v>
      </c>
      <c r="F5" s="4"/>
      <c r="G5" s="8">
        <f>E5-C5</f>
        <v>1243.2000000000007</v>
      </c>
      <c r="H5" s="8"/>
      <c r="I5" s="11">
        <f t="shared" ref="I5" si="0">G5/E5</f>
        <v>9.990999099909996E-2</v>
      </c>
      <c r="K5">
        <v>7</v>
      </c>
      <c r="L5" t="s">
        <v>9</v>
      </c>
      <c r="N5">
        <v>150</v>
      </c>
      <c r="O5" t="s">
        <v>16</v>
      </c>
    </row>
    <row r="6" spans="2:15" x14ac:dyDescent="0.25">
      <c r="B6" s="14" t="s">
        <v>18</v>
      </c>
      <c r="C6" s="4">
        <v>1496</v>
      </c>
      <c r="D6" s="4"/>
      <c r="E6" s="4">
        <f>C6*1.176</f>
        <v>1759.2959999999998</v>
      </c>
      <c r="F6" s="4"/>
      <c r="G6" s="8">
        <f>E6-C6</f>
        <v>263.29599999999982</v>
      </c>
      <c r="H6" s="8"/>
      <c r="I6" s="11">
        <f t="shared" ref="I6:I11" si="1">G6/E6</f>
        <v>0.14965986394557815</v>
      </c>
      <c r="K6">
        <v>4</v>
      </c>
      <c r="N6">
        <v>78</v>
      </c>
    </row>
    <row r="7" spans="2:15" x14ac:dyDescent="0.25">
      <c r="B7" s="14" t="s">
        <v>19</v>
      </c>
      <c r="C7" s="4">
        <v>12675</v>
      </c>
      <c r="D7" s="4"/>
      <c r="E7" s="4">
        <f>C7*1.111</f>
        <v>14081.924999999999</v>
      </c>
      <c r="F7" s="4"/>
      <c r="G7" s="8">
        <f t="shared" ref="G7:G12" si="2">E7-C7</f>
        <v>1406.9249999999993</v>
      </c>
      <c r="H7" s="8"/>
      <c r="I7" s="11">
        <f t="shared" si="1"/>
        <v>9.9909990999099862E-2</v>
      </c>
      <c r="K7">
        <v>85</v>
      </c>
      <c r="N7">
        <f>N5*N6</f>
        <v>11700</v>
      </c>
    </row>
    <row r="8" spans="2:15" x14ac:dyDescent="0.25">
      <c r="B8" s="14" t="s">
        <v>23</v>
      </c>
      <c r="C8" s="4">
        <v>3746</v>
      </c>
      <c r="D8" s="4"/>
      <c r="E8" s="4">
        <f t="shared" ref="E7:E11" si="3">C8*1.176</f>
        <v>4405.2959999999994</v>
      </c>
      <c r="F8" s="4"/>
      <c r="G8" s="8">
        <f t="shared" si="2"/>
        <v>659.29599999999937</v>
      </c>
      <c r="H8" s="8"/>
      <c r="I8" s="11">
        <f t="shared" si="1"/>
        <v>0.14965986394557812</v>
      </c>
      <c r="K8">
        <f>K5*K6*K7</f>
        <v>2380</v>
      </c>
      <c r="N8">
        <f>N7*0.05</f>
        <v>585</v>
      </c>
    </row>
    <row r="9" spans="2:15" x14ac:dyDescent="0.25">
      <c r="B9" s="14" t="s">
        <v>22</v>
      </c>
      <c r="C9" s="4">
        <v>1496</v>
      </c>
      <c r="D9" s="4"/>
      <c r="E9" s="4">
        <f t="shared" si="3"/>
        <v>1759.2959999999998</v>
      </c>
      <c r="F9" s="4"/>
      <c r="G9" s="8">
        <f t="shared" si="2"/>
        <v>263.29599999999982</v>
      </c>
      <c r="H9" s="8"/>
      <c r="I9" s="11">
        <f t="shared" si="1"/>
        <v>0.14965986394557815</v>
      </c>
    </row>
    <row r="10" spans="2:15" x14ac:dyDescent="0.25">
      <c r="B10" s="14" t="s">
        <v>12</v>
      </c>
      <c r="C10" s="4">
        <v>8550</v>
      </c>
      <c r="D10" s="4"/>
      <c r="E10" s="4">
        <f t="shared" si="3"/>
        <v>10054.799999999999</v>
      </c>
      <c r="F10" s="4"/>
      <c r="G10" s="8">
        <f t="shared" si="2"/>
        <v>1504.7999999999993</v>
      </c>
      <c r="H10" s="8"/>
      <c r="I10" s="11">
        <f t="shared" si="1"/>
        <v>0.14965986394557818</v>
      </c>
    </row>
    <row r="11" spans="2:15" x14ac:dyDescent="0.25">
      <c r="B11" s="2" t="s">
        <v>10</v>
      </c>
      <c r="C11" s="4">
        <v>420</v>
      </c>
      <c r="D11" s="4"/>
      <c r="E11" s="4">
        <f t="shared" si="3"/>
        <v>493.91999999999996</v>
      </c>
      <c r="F11" s="4"/>
      <c r="G11" s="8">
        <f t="shared" si="2"/>
        <v>73.919999999999959</v>
      </c>
      <c r="H11" s="8"/>
      <c r="I11" s="11">
        <f t="shared" si="1"/>
        <v>0.14965986394557815</v>
      </c>
    </row>
    <row r="12" spans="2:15" x14ac:dyDescent="0.25">
      <c r="B12" s="2" t="s">
        <v>24</v>
      </c>
      <c r="C12" s="4">
        <v>2246</v>
      </c>
      <c r="D12" s="4"/>
      <c r="E12" s="4">
        <f>C12*1.176</f>
        <v>2641.2959999999998</v>
      </c>
      <c r="F12" s="4"/>
      <c r="G12" s="8">
        <f t="shared" si="2"/>
        <v>395.29599999999982</v>
      </c>
      <c r="H12" s="8"/>
      <c r="I12" s="11">
        <f t="shared" ref="I12:I13" si="4">G12/E12</f>
        <v>0.14965986394557818</v>
      </c>
    </row>
    <row r="13" spans="2:15" x14ac:dyDescent="0.25">
      <c r="B13" s="2" t="s">
        <v>24</v>
      </c>
      <c r="C13" s="4">
        <v>2246</v>
      </c>
      <c r="D13" s="4"/>
      <c r="E13" s="4">
        <f t="shared" ref="E13:E17" si="5">C13*1.176</f>
        <v>2641.2959999999998</v>
      </c>
      <c r="F13" s="4"/>
      <c r="G13" s="8">
        <f>E13-C13</f>
        <v>395.29599999999982</v>
      </c>
      <c r="H13" s="8"/>
      <c r="I13" s="11">
        <f t="shared" si="4"/>
        <v>0.14965986394557818</v>
      </c>
    </row>
    <row r="14" spans="2:15" x14ac:dyDescent="0.25">
      <c r="B14" s="2" t="s">
        <v>21</v>
      </c>
      <c r="C14" s="4">
        <v>6750</v>
      </c>
      <c r="D14" s="4"/>
      <c r="E14" s="4">
        <v>11700</v>
      </c>
      <c r="F14" s="4"/>
      <c r="G14" s="8">
        <f t="shared" ref="G14:G18" si="6">E14-C14</f>
        <v>4950</v>
      </c>
      <c r="H14" s="8"/>
      <c r="I14" s="11">
        <f>G14/E14</f>
        <v>0.42307692307692307</v>
      </c>
    </row>
    <row r="15" spans="2:15" x14ac:dyDescent="0.25">
      <c r="B15" s="2" t="s">
        <v>0</v>
      </c>
      <c r="C15" s="4">
        <v>150</v>
      </c>
      <c r="D15" s="4"/>
      <c r="E15" s="4">
        <v>150</v>
      </c>
      <c r="F15" s="4"/>
      <c r="G15" s="8">
        <f t="shared" si="6"/>
        <v>0</v>
      </c>
      <c r="H15" s="8"/>
      <c r="I15" s="11">
        <f>G15/E15</f>
        <v>0</v>
      </c>
    </row>
    <row r="16" spans="2:15" x14ac:dyDescent="0.25">
      <c r="B16" s="2" t="s">
        <v>1</v>
      </c>
      <c r="C16" s="4">
        <v>600</v>
      </c>
      <c r="D16" s="4"/>
      <c r="E16" s="4">
        <f t="shared" si="5"/>
        <v>705.59999999999991</v>
      </c>
      <c r="F16" s="4"/>
      <c r="G16" s="8">
        <f t="shared" si="6"/>
        <v>105.59999999999991</v>
      </c>
      <c r="H16" s="8"/>
      <c r="I16" s="11">
        <f>G16/E16</f>
        <v>0.14965986394557812</v>
      </c>
    </row>
    <row r="17" spans="2:9" x14ac:dyDescent="0.25">
      <c r="B17" s="2" t="s">
        <v>2</v>
      </c>
      <c r="C17" s="4">
        <v>2350</v>
      </c>
      <c r="D17" s="4"/>
      <c r="E17" s="4">
        <f t="shared" si="5"/>
        <v>2763.6</v>
      </c>
      <c r="F17" s="4"/>
      <c r="G17" s="8">
        <f t="shared" si="6"/>
        <v>413.59999999999991</v>
      </c>
      <c r="H17" s="8"/>
      <c r="I17" s="11">
        <f>G17/E17</f>
        <v>0.1496598639455782</v>
      </c>
    </row>
    <row r="18" spans="2:9" x14ac:dyDescent="0.25">
      <c r="B18" s="2" t="s">
        <v>8</v>
      </c>
      <c r="C18" s="4">
        <v>0</v>
      </c>
      <c r="D18" s="4"/>
      <c r="E18" s="4"/>
      <c r="F18" s="4"/>
      <c r="G18" s="8">
        <f t="shared" si="6"/>
        <v>0</v>
      </c>
      <c r="H18" s="8"/>
      <c r="I18" s="11"/>
    </row>
    <row r="19" spans="2:9" x14ac:dyDescent="0.25">
      <c r="B19" s="2"/>
      <c r="C19" s="4"/>
      <c r="D19" s="4"/>
      <c r="E19" s="4"/>
      <c r="F19" s="4"/>
      <c r="G19" s="8"/>
      <c r="H19" s="8"/>
      <c r="I19" s="11"/>
    </row>
    <row r="20" spans="2:9" ht="15.75" thickBot="1" x14ac:dyDescent="0.3">
      <c r="B20" s="3"/>
      <c r="C20" s="4"/>
      <c r="D20" s="4"/>
      <c r="E20" s="6"/>
      <c r="F20" s="6"/>
      <c r="G20" s="8"/>
      <c r="H20" s="8"/>
      <c r="I20" s="11"/>
    </row>
    <row r="21" spans="2:9" ht="15.75" thickTop="1" x14ac:dyDescent="0.25">
      <c r="B21" s="3" t="s">
        <v>3</v>
      </c>
      <c r="C21" s="7">
        <f>SUM(C5:C20)</f>
        <v>53925</v>
      </c>
      <c r="D21" s="4"/>
      <c r="E21" s="7">
        <f>SUM(E5:E20)</f>
        <v>65599.524999999994</v>
      </c>
      <c r="F21" s="6"/>
      <c r="G21" s="7">
        <f>SUM(G5:G20)</f>
        <v>11674.525</v>
      </c>
      <c r="H21" s="6"/>
      <c r="I21" s="11">
        <f>G21/E21</f>
        <v>0.17796660875212131</v>
      </c>
    </row>
    <row r="23" spans="2:9" x14ac:dyDescent="0.25">
      <c r="E23" s="4">
        <v>-2500</v>
      </c>
    </row>
    <row r="26" spans="2:9" x14ac:dyDescent="0.25">
      <c r="E26" s="8">
        <f>E21+E23</f>
        <v>63099.524999999994</v>
      </c>
    </row>
    <row r="27" spans="2:9" x14ac:dyDescent="0.25">
      <c r="B27" s="1"/>
      <c r="C27" s="9"/>
      <c r="D27" s="9"/>
      <c r="E27" s="10"/>
      <c r="F27" s="10"/>
      <c r="G27" s="9"/>
      <c r="H27" s="9"/>
      <c r="I27" s="9"/>
    </row>
    <row r="28" spans="2:9" x14ac:dyDescent="0.25">
      <c r="B28" s="1"/>
      <c r="C28" s="9"/>
      <c r="D28" s="9"/>
      <c r="E28" s="10"/>
      <c r="F28" s="10"/>
      <c r="G28" s="9"/>
      <c r="H28" s="9"/>
      <c r="I28" s="9"/>
    </row>
    <row r="29" spans="2:9" x14ac:dyDescent="0.25">
      <c r="B29" s="14"/>
      <c r="C29" s="4"/>
      <c r="D29" s="4"/>
      <c r="E29" s="4"/>
      <c r="F29" s="4"/>
      <c r="G29" s="8"/>
      <c r="H29" s="8"/>
      <c r="I29" s="11"/>
    </row>
    <row r="30" spans="2:9" x14ac:dyDescent="0.25">
      <c r="B30" s="1"/>
      <c r="C30" s="9" t="s">
        <v>4</v>
      </c>
      <c r="D30" s="9"/>
      <c r="E30" s="10" t="s">
        <v>5</v>
      </c>
      <c r="F30" s="10"/>
      <c r="G30" s="9" t="s">
        <v>6</v>
      </c>
      <c r="H30" s="9"/>
      <c r="I30" s="9" t="s">
        <v>7</v>
      </c>
    </row>
    <row r="31" spans="2:9" x14ac:dyDescent="0.25">
      <c r="B31" s="1"/>
      <c r="C31" s="9"/>
      <c r="D31" s="9"/>
      <c r="E31" s="10"/>
      <c r="F31" s="10"/>
      <c r="G31" s="9"/>
      <c r="H31" s="9"/>
      <c r="I31" s="9"/>
    </row>
    <row r="32" spans="2:9" x14ac:dyDescent="0.25">
      <c r="B32" s="14" t="s">
        <v>20</v>
      </c>
      <c r="C32" s="4">
        <v>11200</v>
      </c>
      <c r="D32" s="4"/>
      <c r="E32" s="4">
        <f>C32*1.111</f>
        <v>12443.2</v>
      </c>
      <c r="F32" s="4"/>
      <c r="G32" s="8">
        <f>E32-C32</f>
        <v>1243.2000000000007</v>
      </c>
      <c r="H32" s="8"/>
      <c r="I32" s="11">
        <f t="shared" ref="I32:I40" si="7">G32/E32</f>
        <v>9.990999099909996E-2</v>
      </c>
    </row>
    <row r="33" spans="2:9" x14ac:dyDescent="0.25">
      <c r="B33" s="14" t="s">
        <v>18</v>
      </c>
      <c r="C33" s="4">
        <v>1496</v>
      </c>
      <c r="D33" s="4"/>
      <c r="E33" s="4">
        <f>C33*1.176</f>
        <v>1759.2959999999998</v>
      </c>
      <c r="F33" s="4"/>
      <c r="G33" s="8">
        <f>E33-C33</f>
        <v>263.29599999999982</v>
      </c>
      <c r="H33" s="8"/>
      <c r="I33" s="11">
        <f t="shared" si="7"/>
        <v>0.14965986394557815</v>
      </c>
    </row>
    <row r="34" spans="2:9" x14ac:dyDescent="0.25">
      <c r="B34" s="14" t="s">
        <v>19</v>
      </c>
      <c r="C34" s="4">
        <v>12675</v>
      </c>
      <c r="D34" s="4"/>
      <c r="E34" s="4">
        <f>C34*1.111</f>
        <v>14081.924999999999</v>
      </c>
      <c r="F34" s="4"/>
      <c r="G34" s="8">
        <f t="shared" ref="G34:G39" si="8">E34-C34</f>
        <v>1406.9249999999993</v>
      </c>
      <c r="H34" s="8"/>
      <c r="I34" s="11">
        <f t="shared" si="7"/>
        <v>9.9909990999099862E-2</v>
      </c>
    </row>
    <row r="35" spans="2:9" x14ac:dyDescent="0.25">
      <c r="B35" s="14" t="s">
        <v>23</v>
      </c>
      <c r="C35" s="4">
        <v>3746</v>
      </c>
      <c r="D35" s="4"/>
      <c r="E35" s="4">
        <f t="shared" ref="E34:E38" si="9">C35*1.176</f>
        <v>4405.2959999999994</v>
      </c>
      <c r="F35" s="4"/>
      <c r="G35" s="8">
        <f t="shared" si="8"/>
        <v>659.29599999999937</v>
      </c>
      <c r="H35" s="8"/>
      <c r="I35" s="11">
        <f t="shared" si="7"/>
        <v>0.14965986394557812</v>
      </c>
    </row>
    <row r="36" spans="2:9" x14ac:dyDescent="0.25">
      <c r="B36" s="14" t="s">
        <v>22</v>
      </c>
      <c r="C36" s="4">
        <v>1496</v>
      </c>
      <c r="D36" s="4"/>
      <c r="E36" s="4">
        <f t="shared" si="9"/>
        <v>1759.2959999999998</v>
      </c>
      <c r="F36" s="4"/>
      <c r="G36" s="8">
        <f t="shared" si="8"/>
        <v>263.29599999999982</v>
      </c>
      <c r="H36" s="8"/>
      <c r="I36" s="11">
        <f t="shared" si="7"/>
        <v>0.14965986394557815</v>
      </c>
    </row>
    <row r="37" spans="2:9" x14ac:dyDescent="0.25">
      <c r="B37" s="14" t="s">
        <v>12</v>
      </c>
      <c r="C37" s="4">
        <v>8550</v>
      </c>
      <c r="D37" s="4"/>
      <c r="E37" s="4">
        <f t="shared" si="9"/>
        <v>10054.799999999999</v>
      </c>
      <c r="F37" s="4"/>
      <c r="G37" s="8">
        <f t="shared" si="8"/>
        <v>1504.7999999999993</v>
      </c>
      <c r="H37" s="8"/>
      <c r="I37" s="11">
        <f t="shared" si="7"/>
        <v>0.14965986394557818</v>
      </c>
    </row>
    <row r="38" spans="2:9" x14ac:dyDescent="0.25">
      <c r="B38" s="2" t="s">
        <v>10</v>
      </c>
      <c r="C38" s="4">
        <v>420</v>
      </c>
      <c r="D38" s="4"/>
      <c r="E38" s="4">
        <f t="shared" si="9"/>
        <v>493.91999999999996</v>
      </c>
      <c r="F38" s="4"/>
      <c r="G38" s="8">
        <f t="shared" si="8"/>
        <v>73.919999999999959</v>
      </c>
      <c r="H38" s="8"/>
      <c r="I38" s="11">
        <f t="shared" si="7"/>
        <v>0.14965986394557815</v>
      </c>
    </row>
    <row r="39" spans="2:9" x14ac:dyDescent="0.25">
      <c r="B39" s="2" t="s">
        <v>25</v>
      </c>
      <c r="C39" s="4">
        <v>3746</v>
      </c>
      <c r="D39" s="4"/>
      <c r="E39" s="4">
        <f>C39*1.176</f>
        <v>4405.2959999999994</v>
      </c>
      <c r="F39" s="4"/>
      <c r="G39" s="8">
        <f t="shared" si="8"/>
        <v>659.29599999999937</v>
      </c>
      <c r="H39" s="8"/>
      <c r="I39" s="11">
        <f t="shared" si="7"/>
        <v>0.14965986394557812</v>
      </c>
    </row>
    <row r="40" spans="2:9" x14ac:dyDescent="0.25">
      <c r="B40" s="2" t="s">
        <v>25</v>
      </c>
      <c r="C40" s="4">
        <v>3746</v>
      </c>
      <c r="D40" s="4"/>
      <c r="E40" s="4">
        <f t="shared" ref="E40" si="10">C40*1.176</f>
        <v>4405.2959999999994</v>
      </c>
      <c r="F40" s="4"/>
      <c r="G40" s="8">
        <f>E40-C40</f>
        <v>659.29599999999937</v>
      </c>
      <c r="H40" s="8"/>
      <c r="I40" s="11">
        <f t="shared" si="7"/>
        <v>0.14965986394557812</v>
      </c>
    </row>
    <row r="41" spans="2:9" x14ac:dyDescent="0.25">
      <c r="B41" s="2" t="s">
        <v>11</v>
      </c>
      <c r="C41" s="4">
        <v>749</v>
      </c>
      <c r="D41" s="4"/>
      <c r="E41" s="4">
        <f t="shared" ref="E41" si="11">C41*1.176</f>
        <v>880.82399999999996</v>
      </c>
      <c r="F41" s="4"/>
      <c r="G41" s="8">
        <f>E41-C41</f>
        <v>131.82399999999996</v>
      </c>
      <c r="H41" s="8"/>
      <c r="I41" s="11">
        <f t="shared" ref="I41" si="12">G41/E41</f>
        <v>0.14965986394557818</v>
      </c>
    </row>
    <row r="42" spans="2:9" x14ac:dyDescent="0.25">
      <c r="B42" s="2" t="s">
        <v>21</v>
      </c>
      <c r="C42" s="4">
        <v>6750</v>
      </c>
      <c r="D42" s="4"/>
      <c r="E42" s="4">
        <v>11700</v>
      </c>
      <c r="F42" s="4"/>
      <c r="G42" s="8">
        <f t="shared" ref="G42:G46" si="13">E42-C42</f>
        <v>4950</v>
      </c>
      <c r="H42" s="8"/>
      <c r="I42" s="11">
        <f>G42/E42</f>
        <v>0.42307692307692307</v>
      </c>
    </row>
    <row r="43" spans="2:9" x14ac:dyDescent="0.25">
      <c r="B43" s="2" t="s">
        <v>0</v>
      </c>
      <c r="C43" s="4">
        <v>150</v>
      </c>
      <c r="D43" s="4"/>
      <c r="E43" s="4">
        <v>150</v>
      </c>
      <c r="F43" s="4"/>
      <c r="G43" s="8">
        <f t="shared" si="13"/>
        <v>0</v>
      </c>
      <c r="H43" s="8"/>
      <c r="I43" s="11">
        <f>G43/E43</f>
        <v>0</v>
      </c>
    </row>
    <row r="44" spans="2:9" x14ac:dyDescent="0.25">
      <c r="B44" s="2" t="s">
        <v>1</v>
      </c>
      <c r="C44" s="4">
        <v>600</v>
      </c>
      <c r="D44" s="4"/>
      <c r="E44" s="4">
        <f t="shared" ref="E44:E45" si="14">C44*1.176</f>
        <v>705.59999999999991</v>
      </c>
      <c r="F44" s="4"/>
      <c r="G44" s="8">
        <f t="shared" si="13"/>
        <v>105.59999999999991</v>
      </c>
      <c r="H44" s="8"/>
      <c r="I44" s="11">
        <f>G44/E44</f>
        <v>0.14965986394557812</v>
      </c>
    </row>
    <row r="45" spans="2:9" x14ac:dyDescent="0.25">
      <c r="B45" s="2" t="s">
        <v>2</v>
      </c>
      <c r="C45" s="4">
        <v>2350</v>
      </c>
      <c r="D45" s="4"/>
      <c r="E45" s="4">
        <f t="shared" si="14"/>
        <v>2763.6</v>
      </c>
      <c r="F45" s="4"/>
      <c r="G45" s="8">
        <f t="shared" si="13"/>
        <v>413.59999999999991</v>
      </c>
      <c r="H45" s="8"/>
      <c r="I45" s="11">
        <f>G45/E45</f>
        <v>0.1496598639455782</v>
      </c>
    </row>
    <row r="46" spans="2:9" x14ac:dyDescent="0.25">
      <c r="B46" s="2" t="s">
        <v>8</v>
      </c>
      <c r="C46" s="4">
        <v>0</v>
      </c>
      <c r="D46" s="4"/>
      <c r="E46" s="4"/>
      <c r="F46" s="4"/>
      <c r="G46" s="8">
        <f t="shared" si="13"/>
        <v>0</v>
      </c>
      <c r="H46" s="8"/>
      <c r="I46" s="11"/>
    </row>
    <row r="47" spans="2:9" x14ac:dyDescent="0.25">
      <c r="B47" s="2"/>
      <c r="C47" s="4"/>
      <c r="D47" s="4"/>
      <c r="E47" s="4"/>
      <c r="F47" s="4"/>
      <c r="G47" s="8"/>
      <c r="H47" s="8"/>
      <c r="I47" s="11"/>
    </row>
    <row r="48" spans="2:9" ht="15.75" thickBot="1" x14ac:dyDescent="0.3">
      <c r="B48" s="3"/>
      <c r="C48" s="4"/>
      <c r="D48" s="4"/>
      <c r="E48" s="6"/>
      <c r="F48" s="6"/>
      <c r="G48" s="8"/>
      <c r="H48" s="8"/>
      <c r="I48" s="11"/>
    </row>
    <row r="49" spans="2:9" ht="15.75" thickTop="1" x14ac:dyDescent="0.25">
      <c r="B49" s="3" t="s">
        <v>3</v>
      </c>
      <c r="C49" s="7">
        <f>SUM(C32:C48)</f>
        <v>57674</v>
      </c>
      <c r="D49" s="4"/>
      <c r="E49" s="7">
        <f>SUM(E32:E48)</f>
        <v>70008.349000000017</v>
      </c>
      <c r="F49" s="6"/>
      <c r="G49" s="7">
        <f>SUM(G32:G48)</f>
        <v>12334.348999999998</v>
      </c>
      <c r="H49" s="6"/>
      <c r="I49" s="11">
        <f>G49/E49</f>
        <v>0.17618397200025379</v>
      </c>
    </row>
    <row r="51" spans="2:9" x14ac:dyDescent="0.25">
      <c r="E51" s="4">
        <v>-2500</v>
      </c>
    </row>
    <row r="54" spans="2:9" x14ac:dyDescent="0.25">
      <c r="E54" s="8">
        <f>E49+E51</f>
        <v>67508.349000000017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F10" sqref="F10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13</v>
      </c>
    </row>
    <row r="6" spans="3:7" x14ac:dyDescent="0.25">
      <c r="C6" t="s">
        <v>17</v>
      </c>
      <c r="D6" s="13">
        <v>4650</v>
      </c>
      <c r="F6" s="13"/>
    </row>
    <row r="7" spans="3:7" x14ac:dyDescent="0.25">
      <c r="C7" t="s">
        <v>14</v>
      </c>
      <c r="D7" s="13">
        <v>-720</v>
      </c>
    </row>
    <row r="8" spans="3:7" x14ac:dyDescent="0.25">
      <c r="C8" t="s">
        <v>15</v>
      </c>
      <c r="D8" s="13">
        <v>-1250</v>
      </c>
    </row>
    <row r="10" spans="3:7" x14ac:dyDescent="0.25">
      <c r="C10" t="s">
        <v>13</v>
      </c>
      <c r="D10" s="13">
        <f>SUM(D6:D9)</f>
        <v>2680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2016-10-20T18:41:36Z</dcterms:modified>
</cp:coreProperties>
</file>