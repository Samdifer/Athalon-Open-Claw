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arpN\Desktop\Avionics Quotes\Transwest\"/>
    </mc:Choice>
  </mc:AlternateContent>
  <bookViews>
    <workbookView xWindow="0" yWindow="0" windowWidth="20490" windowHeight="7530" activeTab="1"/>
  </bookViews>
  <sheets>
    <sheet name="LPV" sheetId="2" r:id="rId1"/>
    <sheet name="ADS-B" sheetId="1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" i="1" l="1"/>
  <c r="E8" i="1"/>
  <c r="G8" i="1" s="1"/>
  <c r="I8" i="1" s="1"/>
  <c r="E7" i="1"/>
  <c r="G7" i="1" s="1"/>
  <c r="I7" i="1" s="1"/>
  <c r="C19" i="2" l="1"/>
  <c r="E9" i="2"/>
  <c r="E14" i="2"/>
  <c r="G14" i="2" s="1"/>
  <c r="E13" i="2"/>
  <c r="G13" i="2" s="1"/>
  <c r="I13" i="2" s="1"/>
  <c r="E12" i="2"/>
  <c r="G12" i="2" s="1"/>
  <c r="I12" i="2" s="1"/>
  <c r="E11" i="2"/>
  <c r="G11" i="2" s="1"/>
  <c r="I11" i="2" s="1"/>
  <c r="G10" i="2"/>
  <c r="I10" i="2" s="1"/>
  <c r="G9" i="2"/>
  <c r="E8" i="2"/>
  <c r="G8" i="2" s="1"/>
  <c r="I8" i="2" s="1"/>
  <c r="N7" i="2"/>
  <c r="E7" i="2"/>
  <c r="G7" i="2" s="1"/>
  <c r="I7" i="2" s="1"/>
  <c r="M6" i="2"/>
  <c r="M7" i="2" s="1"/>
  <c r="E6" i="2"/>
  <c r="G6" i="2" s="1"/>
  <c r="E5" i="2"/>
  <c r="G4" i="2"/>
  <c r="I4" i="2" s="1"/>
  <c r="N7" i="1"/>
  <c r="M6" i="1"/>
  <c r="E6" i="1"/>
  <c r="E9" i="1"/>
  <c r="E11" i="1"/>
  <c r="E12" i="1"/>
  <c r="E13" i="1"/>
  <c r="E14" i="1"/>
  <c r="E5" i="1"/>
  <c r="E19" i="2" l="1"/>
  <c r="G5" i="2"/>
  <c r="I5" i="2" s="1"/>
  <c r="G14" i="1"/>
  <c r="E21" i="2" l="1"/>
  <c r="G21" i="2" s="1"/>
  <c r="I21" i="2" s="1"/>
  <c r="I20" i="2"/>
  <c r="G19" i="2"/>
  <c r="I19" i="2" s="1"/>
  <c r="G5" i="1"/>
  <c r="I5" i="1" s="1"/>
  <c r="G6" i="1"/>
  <c r="G9" i="1"/>
  <c r="G10" i="1"/>
  <c r="I10" i="1" s="1"/>
  <c r="G11" i="1"/>
  <c r="I11" i="1" s="1"/>
  <c r="G12" i="1"/>
  <c r="I12" i="1" s="1"/>
  <c r="G13" i="1"/>
  <c r="I13" i="1" s="1"/>
  <c r="G4" i="1"/>
  <c r="I4" i="1" s="1"/>
  <c r="C19" i="1"/>
  <c r="I20" i="1" l="1"/>
  <c r="E21" i="1"/>
  <c r="G21" i="1" s="1"/>
  <c r="I21" i="1" s="1"/>
  <c r="G19" i="1"/>
  <c r="I19" i="1" s="1"/>
</calcChain>
</file>

<file path=xl/comments1.xml><?xml version="1.0" encoding="utf-8"?>
<comments xmlns="http://schemas.openxmlformats.org/spreadsheetml/2006/main">
  <authors>
    <author>Nathanael Earp</author>
  </authors>
  <commentList>
    <comment ref="C5" authorId="0" shapeId="0">
      <text>
        <r>
          <rPr>
            <b/>
            <sz val="9"/>
            <color indexed="81"/>
            <rFont val="Tahoma"/>
            <family val="2"/>
          </rPr>
          <t>Nathanael Earp:</t>
        </r>
        <r>
          <rPr>
            <sz val="9"/>
            <color indexed="81"/>
            <rFont val="Tahoma"/>
            <family val="2"/>
          </rPr>
          <t xml:space="preserve">
45180-7000 credit</t>
        </r>
      </text>
    </comment>
  </commentList>
</comments>
</file>

<file path=xl/sharedStrings.xml><?xml version="1.0" encoding="utf-8"?>
<sst xmlns="http://schemas.openxmlformats.org/spreadsheetml/2006/main" count="32" uniqueCount="22">
  <si>
    <t>Supplemental Type Certificate(s)</t>
  </si>
  <si>
    <t>Upgrade RTU 42XX</t>
  </si>
  <si>
    <t>Upgrade GPS-4000S GPS (1)</t>
  </si>
  <si>
    <t>Sensor Systems GPS Antenna</t>
  </si>
  <si>
    <t>New IOC-3100 Concentrator (2)</t>
  </si>
  <si>
    <t>Freight</t>
  </si>
  <si>
    <t>Consumables</t>
  </si>
  <si>
    <t>Engineering</t>
  </si>
  <si>
    <t>Total</t>
  </si>
  <si>
    <t>Cost</t>
  </si>
  <si>
    <t>Sell</t>
  </si>
  <si>
    <t>Gross Margin</t>
  </si>
  <si>
    <t>%</t>
  </si>
  <si>
    <t>Used Equip Margin</t>
  </si>
  <si>
    <t>2 Ea. New OCM-3100 (822-1484-228)</t>
  </si>
  <si>
    <t>Upgrade GPS-4000S (822-2189-010)</t>
  </si>
  <si>
    <t>New Sensor Systems GPS Antenna</t>
  </si>
  <si>
    <t>Installation 22 Hrs</t>
  </si>
  <si>
    <t>Upgrade FMC-3000 (822-0883-082)</t>
  </si>
  <si>
    <t>Upgrade IOC-4110 (822-2065-101)</t>
  </si>
  <si>
    <t>Installation 65 Hrs</t>
  </si>
  <si>
    <t>New TDR-94D Transponders 622-9352-501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</si>
</sst>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0.000"/>
  </numFmts>
  <fonts count="5" x14ac:knownFonts="1">
    <font>
      <sz val="11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44" fontId="2" fillId="0" borderId="0" xfId="0" applyNumberFormat="1" applyFont="1" applyAlignment="1">
      <alignment horizontal="left" indent="1"/>
    </xf>
    <xf numFmtId="0" fontId="0" fillId="0" borderId="0" xfId="0" applyAlignment="1">
      <alignment horizontal="left" indent="1"/>
    </xf>
    <xf numFmtId="44" fontId="2" fillId="0" borderId="0" xfId="0" applyNumberFormat="1" applyFont="1" applyBorder="1" applyAlignment="1">
      <alignment horizontal="left" indent="1"/>
    </xf>
    <xf numFmtId="44" fontId="2" fillId="0" borderId="1" xfId="0" applyNumberFormat="1" applyFont="1" applyBorder="1" applyAlignment="1">
      <alignment horizontal="left" indent="1"/>
    </xf>
    <xf numFmtId="44" fontId="0" fillId="0" borderId="0" xfId="0" applyNumberFormat="1" applyAlignment="1">
      <alignment horizontal="left" indent="1"/>
    </xf>
    <xf numFmtId="164" fontId="0" fillId="0" borderId="0" xfId="0" applyNumberFormat="1" applyAlignment="1">
      <alignment horizontal="left" indent="1"/>
    </xf>
    <xf numFmtId="0" fontId="1" fillId="0" borderId="0" xfId="0" applyFont="1" applyAlignment="1">
      <alignment horizontal="right" indent="1"/>
    </xf>
    <xf numFmtId="44" fontId="1" fillId="0" borderId="0" xfId="0" applyNumberFormat="1" applyFont="1" applyAlignment="1">
      <alignment horizontal="right" indent="1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21"/>
  <sheetViews>
    <sheetView workbookViewId="0">
      <selection activeCell="B10" sqref="B10"/>
    </sheetView>
  </sheetViews>
  <sheetFormatPr defaultRowHeight="15" x14ac:dyDescent="0.25"/>
  <cols>
    <col min="2" max="2" width="31.42578125" customWidth="1"/>
    <col min="3" max="3" width="22.42578125" style="6" customWidth="1"/>
    <col min="4" max="4" width="2.140625" style="6" customWidth="1"/>
    <col min="5" max="5" width="20.5703125" style="6" customWidth="1"/>
    <col min="6" max="6" width="1.7109375" style="6" customWidth="1"/>
    <col min="7" max="7" width="18.85546875" style="6" customWidth="1"/>
    <col min="8" max="8" width="2" style="6" customWidth="1"/>
    <col min="9" max="9" width="9.140625" style="6"/>
    <col min="11" max="11" width="10.5703125" bestFit="1" customWidth="1"/>
  </cols>
  <sheetData>
    <row r="3" spans="2:14" x14ac:dyDescent="0.25">
      <c r="B3" s="1"/>
      <c r="C3" s="11" t="s">
        <v>9</v>
      </c>
      <c r="D3" s="11"/>
      <c r="E3" s="12" t="s">
        <v>10</v>
      </c>
      <c r="F3" s="12"/>
      <c r="G3" s="11" t="s">
        <v>11</v>
      </c>
      <c r="H3" s="11"/>
      <c r="I3" s="11" t="s">
        <v>12</v>
      </c>
    </row>
    <row r="4" spans="2:14" x14ac:dyDescent="0.25">
      <c r="B4" s="2" t="s">
        <v>0</v>
      </c>
      <c r="C4" s="5">
        <v>0</v>
      </c>
      <c r="D4" s="5"/>
      <c r="E4" s="5">
        <v>5000</v>
      </c>
      <c r="F4" s="5"/>
      <c r="G4" s="9">
        <f>E4-C4</f>
        <v>5000</v>
      </c>
      <c r="H4" s="9"/>
      <c r="I4" s="10">
        <f>G4/E4</f>
        <v>1</v>
      </c>
      <c r="M4">
        <v>22</v>
      </c>
      <c r="N4">
        <v>2</v>
      </c>
    </row>
    <row r="5" spans="2:14" x14ac:dyDescent="0.25">
      <c r="B5" s="3" t="s">
        <v>18</v>
      </c>
      <c r="C5" s="5">
        <v>7140</v>
      </c>
      <c r="D5" s="5"/>
      <c r="E5" s="5">
        <f>C5*1.176</f>
        <v>8396.64</v>
      </c>
      <c r="F5" s="5"/>
      <c r="G5" s="9">
        <f t="shared" ref="G5:G14" si="0">E5-C5</f>
        <v>1256.6399999999994</v>
      </c>
      <c r="H5" s="9"/>
      <c r="I5" s="10">
        <f>G5/E5</f>
        <v>0.14965986394557818</v>
      </c>
      <c r="M5">
        <v>85</v>
      </c>
      <c r="N5">
        <v>4</v>
      </c>
    </row>
    <row r="6" spans="2:14" x14ac:dyDescent="0.25">
      <c r="B6" s="3" t="s">
        <v>14</v>
      </c>
      <c r="C6" s="5">
        <v>15300</v>
      </c>
      <c r="D6" s="5"/>
      <c r="E6" s="5">
        <f t="shared" ref="E6:E14" si="1">C6*1.176</f>
        <v>17992.8</v>
      </c>
      <c r="F6" s="5"/>
      <c r="G6" s="9">
        <f t="shared" si="0"/>
        <v>2692.7999999999993</v>
      </c>
      <c r="H6" s="9"/>
      <c r="I6" s="10"/>
      <c r="M6">
        <f>M4*M5</f>
        <v>1870</v>
      </c>
      <c r="N6">
        <v>85</v>
      </c>
    </row>
    <row r="7" spans="2:14" x14ac:dyDescent="0.25">
      <c r="B7" s="3" t="s">
        <v>15</v>
      </c>
      <c r="C7" s="5">
        <v>0</v>
      </c>
      <c r="D7" s="5"/>
      <c r="E7" s="5">
        <f t="shared" si="1"/>
        <v>0</v>
      </c>
      <c r="F7" s="5"/>
      <c r="G7" s="9">
        <f t="shared" si="0"/>
        <v>0</v>
      </c>
      <c r="H7" s="9"/>
      <c r="I7" s="10" t="e">
        <f>G7/E7</f>
        <v>#DIV/0!</v>
      </c>
      <c r="M7">
        <f>M6*0.05</f>
        <v>93.5</v>
      </c>
      <c r="N7">
        <f>N4*N5*N6</f>
        <v>680</v>
      </c>
    </row>
    <row r="8" spans="2:14" x14ac:dyDescent="0.25">
      <c r="B8" s="3" t="s">
        <v>16</v>
      </c>
      <c r="C8" s="5">
        <v>0</v>
      </c>
      <c r="D8" s="5"/>
      <c r="E8" s="5">
        <f t="shared" si="1"/>
        <v>0</v>
      </c>
      <c r="F8" s="5"/>
      <c r="G8" s="9">
        <f t="shared" si="0"/>
        <v>0</v>
      </c>
      <c r="H8" s="9"/>
      <c r="I8" s="10" t="e">
        <f>G8/E8</f>
        <v>#DIV/0!</v>
      </c>
    </row>
    <row r="9" spans="2:14" x14ac:dyDescent="0.25">
      <c r="B9" s="3" t="s">
        <v>19</v>
      </c>
      <c r="C9" s="5">
        <v>5610</v>
      </c>
      <c r="D9" s="5"/>
      <c r="E9" s="5">
        <f t="shared" si="1"/>
        <v>6597.36</v>
      </c>
      <c r="F9" s="5"/>
      <c r="G9" s="9">
        <f t="shared" si="0"/>
        <v>987.35999999999967</v>
      </c>
      <c r="H9" s="9"/>
      <c r="I9" s="10"/>
    </row>
    <row r="10" spans="2:14" x14ac:dyDescent="0.25">
      <c r="B10" s="3" t="s">
        <v>17</v>
      </c>
      <c r="C10" s="5">
        <v>990</v>
      </c>
      <c r="D10" s="5"/>
      <c r="E10" s="5">
        <v>1870</v>
      </c>
      <c r="F10" s="5"/>
      <c r="G10" s="9">
        <f t="shared" si="0"/>
        <v>880</v>
      </c>
      <c r="H10" s="9"/>
      <c r="I10" s="10">
        <f>G10/E10</f>
        <v>0.47058823529411764</v>
      </c>
    </row>
    <row r="11" spans="2:14" x14ac:dyDescent="0.25">
      <c r="B11" s="3" t="s">
        <v>5</v>
      </c>
      <c r="C11" s="5">
        <v>250</v>
      </c>
      <c r="D11" s="5"/>
      <c r="E11" s="5">
        <f t="shared" si="1"/>
        <v>294</v>
      </c>
      <c r="F11" s="5"/>
      <c r="G11" s="9">
        <f t="shared" si="0"/>
        <v>44</v>
      </c>
      <c r="H11" s="9"/>
      <c r="I11" s="10">
        <f>G11/E11</f>
        <v>0.14965986394557823</v>
      </c>
    </row>
    <row r="12" spans="2:14" x14ac:dyDescent="0.25">
      <c r="B12" s="3" t="s">
        <v>6</v>
      </c>
      <c r="C12" s="5">
        <v>125</v>
      </c>
      <c r="D12" s="5"/>
      <c r="E12" s="5">
        <f t="shared" si="1"/>
        <v>147</v>
      </c>
      <c r="F12" s="5"/>
      <c r="G12" s="9">
        <f t="shared" si="0"/>
        <v>22</v>
      </c>
      <c r="H12" s="9"/>
      <c r="I12" s="10">
        <f>G12/E12</f>
        <v>0.14965986394557823</v>
      </c>
    </row>
    <row r="13" spans="2:14" x14ac:dyDescent="0.25">
      <c r="B13" s="3" t="s">
        <v>7</v>
      </c>
      <c r="C13" s="5">
        <v>680</v>
      </c>
      <c r="D13" s="5"/>
      <c r="E13" s="5">
        <f t="shared" si="1"/>
        <v>799.68</v>
      </c>
      <c r="F13" s="5"/>
      <c r="G13" s="9">
        <f t="shared" si="0"/>
        <v>119.67999999999995</v>
      </c>
      <c r="H13" s="9"/>
      <c r="I13" s="10">
        <f>G13/E13</f>
        <v>0.14965986394557818</v>
      </c>
    </row>
    <row r="14" spans="2:14" x14ac:dyDescent="0.25">
      <c r="B14" s="3" t="s">
        <v>13</v>
      </c>
      <c r="C14" s="5">
        <v>0</v>
      </c>
      <c r="D14" s="5"/>
      <c r="E14" s="5">
        <f t="shared" si="1"/>
        <v>0</v>
      </c>
      <c r="F14" s="5"/>
      <c r="G14" s="9">
        <f t="shared" si="0"/>
        <v>0</v>
      </c>
      <c r="H14" s="9"/>
      <c r="I14" s="10"/>
    </row>
    <row r="15" spans="2:14" x14ac:dyDescent="0.25">
      <c r="B15" s="3"/>
      <c r="C15" s="5"/>
      <c r="D15" s="5"/>
      <c r="E15" s="5"/>
      <c r="F15" s="5"/>
      <c r="G15" s="9"/>
      <c r="H15" s="9"/>
      <c r="I15" s="10"/>
    </row>
    <row r="16" spans="2:14" x14ac:dyDescent="0.25">
      <c r="B16" s="3"/>
      <c r="C16" s="5"/>
      <c r="D16" s="5"/>
      <c r="E16" s="5"/>
      <c r="F16" s="5"/>
      <c r="G16" s="9"/>
      <c r="H16" s="9"/>
      <c r="I16" s="10"/>
    </row>
    <row r="17" spans="2:11" x14ac:dyDescent="0.25">
      <c r="B17" s="4"/>
      <c r="C17" s="5"/>
      <c r="D17" s="5"/>
      <c r="E17" s="7"/>
      <c r="F17" s="7"/>
      <c r="G17" s="9"/>
      <c r="H17" s="9"/>
      <c r="I17" s="10"/>
    </row>
    <row r="18" spans="2:11" ht="15.75" thickBot="1" x14ac:dyDescent="0.3">
      <c r="B18" s="4"/>
      <c r="C18" s="5"/>
      <c r="D18" s="5"/>
      <c r="E18" s="7"/>
      <c r="F18" s="7"/>
      <c r="G18" s="9"/>
      <c r="H18" s="9"/>
      <c r="I18" s="10"/>
    </row>
    <row r="19" spans="2:11" ht="15.75" thickTop="1" x14ac:dyDescent="0.25">
      <c r="B19" s="4" t="s">
        <v>8</v>
      </c>
      <c r="C19" s="8">
        <f>SUM(C4:C18)</f>
        <v>30095</v>
      </c>
      <c r="D19" s="5"/>
      <c r="E19" s="8">
        <f>SUM(E4:E18)</f>
        <v>41097.479999999996</v>
      </c>
      <c r="F19" s="7"/>
      <c r="G19" s="8">
        <f>SUM(G4:G18)</f>
        <v>11002.48</v>
      </c>
      <c r="H19" s="7"/>
      <c r="I19" s="10">
        <f>G19/E19</f>
        <v>0.26771665805299988</v>
      </c>
      <c r="K19" s="13"/>
    </row>
    <row r="20" spans="2:11" x14ac:dyDescent="0.25">
      <c r="E20" s="9">
        <v>-1250</v>
      </c>
      <c r="I20" s="10">
        <f>E20/E19</f>
        <v>-3.0415490195505906E-2</v>
      </c>
    </row>
    <row r="21" spans="2:11" x14ac:dyDescent="0.25">
      <c r="E21" s="9">
        <f>E19+E20</f>
        <v>39847.479999999996</v>
      </c>
      <c r="G21" s="9">
        <f>E21-C19</f>
        <v>9752.4799999999959</v>
      </c>
      <c r="I21" s="10">
        <f t="shared" ref="I21" si="2">G21/E21</f>
        <v>0.24474521349907188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3:N24"/>
  <sheetViews>
    <sheetView tabSelected="1" topLeftCell="A4" workbookViewId="0">
      <selection activeCell="G23" sqref="G23"/>
    </sheetView>
  </sheetViews>
  <sheetFormatPr defaultRowHeight="15" x14ac:dyDescent="0.25"/>
  <cols>
    <col min="2" max="2" width="31.42578125" customWidth="1"/>
    <col min="3" max="3" width="22.42578125" style="6" customWidth="1"/>
    <col min="4" max="4" width="2.140625" style="6" customWidth="1"/>
    <col min="5" max="5" width="20.5703125" style="6" customWidth="1"/>
    <col min="6" max="6" width="1.7109375" style="6" customWidth="1"/>
    <col min="7" max="7" width="18.85546875" style="6" customWidth="1"/>
    <col min="8" max="8" width="2" style="6" customWidth="1"/>
    <col min="9" max="9" width="14.140625" style="6" bestFit="1" customWidth="1"/>
  </cols>
  <sheetData>
    <row r="3" spans="2:14" x14ac:dyDescent="0.25">
      <c r="B3" s="1"/>
      <c r="C3" s="11" t="s">
        <v>9</v>
      </c>
      <c r="D3" s="11"/>
      <c r="E3" s="12" t="s">
        <v>10</v>
      </c>
      <c r="F3" s="12"/>
      <c r="G3" s="11" t="s">
        <v>11</v>
      </c>
      <c r="H3" s="11"/>
      <c r="I3" s="11" t="s">
        <v>12</v>
      </c>
    </row>
    <row r="4" spans="2:14" x14ac:dyDescent="0.25">
      <c r="B4" s="2" t="s">
        <v>0</v>
      </c>
      <c r="C4" s="5">
        <v>15000</v>
      </c>
      <c r="D4" s="5"/>
      <c r="E4" s="5">
        <v>15000</v>
      </c>
      <c r="F4" s="5"/>
      <c r="G4" s="9">
        <f>E4-C4</f>
        <v>0</v>
      </c>
      <c r="H4" s="9"/>
      <c r="I4" s="10">
        <f>G4/E4</f>
        <v>0</v>
      </c>
      <c r="M4">
        <v>65</v>
      </c>
      <c r="N4">
        <v>5</v>
      </c>
    </row>
    <row r="5" spans="2:14" x14ac:dyDescent="0.25">
      <c r="B5" s="3" t="s">
        <v>21</v>
      </c>
      <c r="C5" s="5">
        <v>38180</v>
      </c>
      <c r="D5" s="5"/>
      <c r="E5" s="5">
        <f>C5*1.176</f>
        <v>44899.68</v>
      </c>
      <c r="F5" s="5"/>
      <c r="G5" s="9">
        <f t="shared" ref="G5:G14" si="0">E5-C5</f>
        <v>6719.68</v>
      </c>
      <c r="H5" s="9"/>
      <c r="I5" s="10">
        <f>G5/E5</f>
        <v>0.14965986394557823</v>
      </c>
      <c r="M5">
        <v>75</v>
      </c>
      <c r="N5">
        <v>4</v>
      </c>
    </row>
    <row r="6" spans="2:14" x14ac:dyDescent="0.25">
      <c r="B6" s="3" t="s">
        <v>1</v>
      </c>
      <c r="C6" s="5">
        <v>0</v>
      </c>
      <c r="D6" s="5"/>
      <c r="E6" s="5">
        <f t="shared" ref="E6:E14" si="1">C6*1.176</f>
        <v>0</v>
      </c>
      <c r="F6" s="5"/>
      <c r="G6" s="9">
        <f t="shared" si="0"/>
        <v>0</v>
      </c>
      <c r="H6" s="9"/>
      <c r="I6" s="10"/>
      <c r="M6">
        <f>M4*M5</f>
        <v>4875</v>
      </c>
      <c r="N6">
        <v>85</v>
      </c>
    </row>
    <row r="7" spans="2:14" x14ac:dyDescent="0.25">
      <c r="B7" s="3" t="s">
        <v>2</v>
      </c>
      <c r="C7" s="5">
        <v>14396</v>
      </c>
      <c r="D7" s="5"/>
      <c r="E7" s="5">
        <f t="shared" si="1"/>
        <v>16929.696</v>
      </c>
      <c r="F7" s="5"/>
      <c r="G7" s="9">
        <f t="shared" si="0"/>
        <v>2533.6959999999999</v>
      </c>
      <c r="H7" s="9"/>
      <c r="I7" s="10">
        <f>G7/E7</f>
        <v>0.14965986394557823</v>
      </c>
      <c r="N7">
        <f>N4*N5*N6</f>
        <v>1700</v>
      </c>
    </row>
    <row r="8" spans="2:14" x14ac:dyDescent="0.25">
      <c r="B8" s="3" t="s">
        <v>3</v>
      </c>
      <c r="C8" s="5">
        <v>800</v>
      </c>
      <c r="D8" s="5"/>
      <c r="E8" s="5">
        <f t="shared" si="1"/>
        <v>940.8</v>
      </c>
      <c r="F8" s="5"/>
      <c r="G8" s="9">
        <f t="shared" si="0"/>
        <v>140.79999999999995</v>
      </c>
      <c r="H8" s="9"/>
      <c r="I8" s="10">
        <f>G8/E8</f>
        <v>0.1496598639455782</v>
      </c>
    </row>
    <row r="9" spans="2:14" x14ac:dyDescent="0.25">
      <c r="B9" s="3" t="s">
        <v>4</v>
      </c>
      <c r="C9" s="5">
        <v>0</v>
      </c>
      <c r="D9" s="5"/>
      <c r="E9" s="5">
        <f t="shared" si="1"/>
        <v>0</v>
      </c>
      <c r="F9" s="5"/>
      <c r="G9" s="9">
        <f t="shared" si="0"/>
        <v>0</v>
      </c>
      <c r="H9" s="9"/>
      <c r="I9" s="10"/>
    </row>
    <row r="10" spans="2:14" x14ac:dyDescent="0.25">
      <c r="B10" s="3" t="s">
        <v>20</v>
      </c>
      <c r="C10" s="5">
        <v>2925</v>
      </c>
      <c r="D10" s="5"/>
      <c r="E10" s="5">
        <v>5525</v>
      </c>
      <c r="F10" s="5"/>
      <c r="G10" s="9">
        <f t="shared" si="0"/>
        <v>2600</v>
      </c>
      <c r="H10" s="9"/>
      <c r="I10" s="10">
        <f>G10/E10</f>
        <v>0.47058823529411764</v>
      </c>
    </row>
    <row r="11" spans="2:14" x14ac:dyDescent="0.25">
      <c r="B11" s="3" t="s">
        <v>5</v>
      </c>
      <c r="C11" s="5">
        <v>125</v>
      </c>
      <c r="D11" s="5"/>
      <c r="E11" s="5">
        <f t="shared" si="1"/>
        <v>147</v>
      </c>
      <c r="F11" s="5"/>
      <c r="G11" s="9">
        <f t="shared" si="0"/>
        <v>22</v>
      </c>
      <c r="H11" s="9"/>
      <c r="I11" s="10">
        <f>G11/E11</f>
        <v>0.14965986394557823</v>
      </c>
    </row>
    <row r="12" spans="2:14" x14ac:dyDescent="0.25">
      <c r="B12" s="3" t="s">
        <v>6</v>
      </c>
      <c r="C12" s="5">
        <v>650</v>
      </c>
      <c r="D12" s="5"/>
      <c r="E12" s="5">
        <f t="shared" si="1"/>
        <v>764.4</v>
      </c>
      <c r="F12" s="5"/>
      <c r="G12" s="9">
        <f t="shared" si="0"/>
        <v>114.39999999999998</v>
      </c>
      <c r="H12" s="9"/>
      <c r="I12" s="10">
        <f>G12/E12</f>
        <v>0.1496598639455782</v>
      </c>
    </row>
    <row r="13" spans="2:14" x14ac:dyDescent="0.25">
      <c r="B13" s="3" t="s">
        <v>7</v>
      </c>
      <c r="C13" s="5">
        <v>1700</v>
      </c>
      <c r="D13" s="5"/>
      <c r="E13" s="5">
        <f t="shared" si="1"/>
        <v>1999.1999999999998</v>
      </c>
      <c r="F13" s="5"/>
      <c r="G13" s="9">
        <f t="shared" si="0"/>
        <v>299.19999999999982</v>
      </c>
      <c r="H13" s="9"/>
      <c r="I13" s="10">
        <f>G13/E13</f>
        <v>0.14965986394557815</v>
      </c>
    </row>
    <row r="14" spans="2:14" x14ac:dyDescent="0.25">
      <c r="B14" s="3" t="s">
        <v>13</v>
      </c>
      <c r="C14" s="5">
        <v>0</v>
      </c>
      <c r="D14" s="5"/>
      <c r="E14" s="5">
        <f t="shared" si="1"/>
        <v>0</v>
      </c>
      <c r="F14" s="5"/>
      <c r="G14" s="9">
        <f t="shared" si="0"/>
        <v>0</v>
      </c>
      <c r="H14" s="9"/>
      <c r="I14" s="10"/>
    </row>
    <row r="15" spans="2:14" x14ac:dyDescent="0.25">
      <c r="B15" s="3"/>
      <c r="C15" s="5"/>
      <c r="D15" s="5"/>
      <c r="E15" s="5"/>
      <c r="F15" s="5"/>
      <c r="G15" s="9"/>
      <c r="H15" s="9"/>
      <c r="I15" s="10"/>
    </row>
    <row r="16" spans="2:14" x14ac:dyDescent="0.25">
      <c r="B16" s="3"/>
      <c r="C16" s="5"/>
      <c r="D16" s="5"/>
      <c r="E16" s="5"/>
      <c r="F16" s="5"/>
      <c r="G16" s="9"/>
      <c r="H16" s="9"/>
      <c r="I16" s="10"/>
    </row>
    <row r="17" spans="2:9" x14ac:dyDescent="0.25">
      <c r="B17" s="4"/>
      <c r="C17" s="5"/>
      <c r="D17" s="5"/>
      <c r="E17" s="7"/>
      <c r="F17" s="7"/>
      <c r="G17" s="9"/>
      <c r="H17" s="9"/>
      <c r="I17" s="10"/>
    </row>
    <row r="18" spans="2:9" ht="15.75" thickBot="1" x14ac:dyDescent="0.3">
      <c r="B18" s="4"/>
      <c r="C18" s="5"/>
      <c r="D18" s="5"/>
      <c r="E18" s="7"/>
      <c r="F18" s="7"/>
      <c r="G18" s="9"/>
      <c r="H18" s="9"/>
      <c r="I18" s="10"/>
    </row>
    <row r="19" spans="2:9" ht="15.75" thickTop="1" x14ac:dyDescent="0.25">
      <c r="B19" s="4" t="s">
        <v>8</v>
      </c>
      <c r="C19" s="8">
        <f>SUM(C4:C18)</f>
        <v>73776</v>
      </c>
      <c r="D19" s="5"/>
      <c r="E19" s="8">
        <f>SUM(E4:E18)</f>
        <v>86205.775999999998</v>
      </c>
      <c r="F19" s="7"/>
      <c r="G19" s="8">
        <f>SUM(G4:G18)</f>
        <v>12429.775999999998</v>
      </c>
      <c r="H19" s="7"/>
      <c r="I19" s="10">
        <f>G19/E19</f>
        <v>0.14418727580388579</v>
      </c>
    </row>
    <row r="20" spans="2:9" x14ac:dyDescent="0.25">
      <c r="E20" s="9">
        <v>-3500</v>
      </c>
      <c r="I20" s="10">
        <f>E20/E19</f>
        <v>-4.0600527741899803E-2</v>
      </c>
    </row>
    <row r="21" spans="2:9" x14ac:dyDescent="0.25">
      <c r="E21" s="9">
        <f>E19+E20</f>
        <v>82705.775999999998</v>
      </c>
      <c r="G21" s="9">
        <f>E21-C19</f>
        <v>8929.775999999998</v>
      </c>
      <c r="I21" s="10">
        <f>G21/E21</f>
        <v>0.10797040342140068</v>
      </c>
    </row>
    <row r="22" spans="2:9" x14ac:dyDescent="0.25">
      <c r="E22" s="9"/>
    </row>
    <row r="23" spans="2:9" x14ac:dyDescent="0.25">
      <c r="E23" s="9"/>
    </row>
    <row r="24" spans="2:9" x14ac:dyDescent="0.25">
      <c r="E24" s="9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LPV</vt:lpstr>
      <vt:lpstr>ADS-B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Nathanael Earp</dc:creator>
  <cp:lastModifiedBy>Nathanael Earp</cp:lastModifiedBy>
  <dcterms:created xsi:type="dcterms:W3CDTF">2016-10-06T22:22:22Z</dcterms:created>
  <dcterms:modified xsi:type="dcterms:W3CDTF">2016-11-18T23:10:45Z</dcterms:modified>
</cp:coreProperties>
</file>