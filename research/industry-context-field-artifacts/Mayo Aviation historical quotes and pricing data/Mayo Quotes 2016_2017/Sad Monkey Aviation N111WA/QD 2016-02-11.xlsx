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EarpN\Desktop\Avionics Quotes\Waypoint Advisory N111WA\"/>
    </mc:Choice>
  </mc:AlternateContent>
  <bookViews>
    <workbookView xWindow="0" yWindow="0" windowWidth="20490" windowHeight="7530" firstSheet="1" activeTab="1"/>
  </bookViews>
  <sheets>
    <sheet name="Sheet1" sheetId="1" state="hidden" r:id="rId1"/>
    <sheet name="Sheet2" sheetId="3" r:id="rId2"/>
    <sheet name="Trade" sheetId="2" state="hidden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3" l="1"/>
  <c r="E17" i="3"/>
  <c r="G17" i="3" s="1"/>
  <c r="I17" i="3" s="1"/>
  <c r="E16" i="3"/>
  <c r="G16" i="3" s="1"/>
  <c r="I16" i="3" s="1"/>
  <c r="G15" i="3"/>
  <c r="I15" i="3" s="1"/>
  <c r="G14" i="3"/>
  <c r="I14" i="3" s="1"/>
  <c r="E13" i="3"/>
  <c r="G13" i="3" s="1"/>
  <c r="I13" i="3" s="1"/>
  <c r="E12" i="3"/>
  <c r="G12" i="3" s="1"/>
  <c r="I12" i="3" s="1"/>
  <c r="E11" i="3"/>
  <c r="G11" i="3" s="1"/>
  <c r="I11" i="3" s="1"/>
  <c r="E10" i="3"/>
  <c r="G10" i="3" s="1"/>
  <c r="I10" i="3" s="1"/>
  <c r="E9" i="3"/>
  <c r="G9" i="3" s="1"/>
  <c r="I9" i="3" s="1"/>
  <c r="E8" i="3"/>
  <c r="G8" i="3" s="1"/>
  <c r="I8" i="3" s="1"/>
  <c r="E7" i="3"/>
  <c r="G7" i="3" s="1"/>
  <c r="I7" i="3" s="1"/>
  <c r="E6" i="3"/>
  <c r="G6" i="3" s="1"/>
  <c r="I6" i="3" s="1"/>
  <c r="E5" i="3"/>
  <c r="G5" i="3" s="1"/>
  <c r="F15" i="1"/>
  <c r="H15" i="1" s="1"/>
  <c r="J15" i="1" s="1"/>
  <c r="F10" i="1"/>
  <c r="H10" i="1" s="1"/>
  <c r="J10" i="1" s="1"/>
  <c r="F12" i="1"/>
  <c r="H12" i="1" s="1"/>
  <c r="J12" i="1" s="1"/>
  <c r="F7" i="1"/>
  <c r="H7" i="1" s="1"/>
  <c r="J7" i="1" s="1"/>
  <c r="I5" i="3" l="1"/>
  <c r="G20" i="3"/>
  <c r="E20" i="3"/>
  <c r="E22" i="3" s="1"/>
  <c r="G22" i="3" s="1"/>
  <c r="I22" i="3" s="1"/>
  <c r="J76" i="1"/>
  <c r="J65" i="1"/>
  <c r="J64" i="1"/>
  <c r="J63" i="1"/>
  <c r="J62" i="1"/>
  <c r="J61" i="1"/>
  <c r="I20" i="3" l="1"/>
  <c r="F14" i="1"/>
  <c r="H14" i="1" s="1"/>
  <c r="J14" i="1" s="1"/>
  <c r="F6" i="1"/>
  <c r="H6" i="1" s="1"/>
  <c r="J6" i="1" s="1"/>
  <c r="G77" i="1" l="1"/>
  <c r="I77" i="1"/>
  <c r="D77" i="1"/>
  <c r="H74" i="1"/>
  <c r="J74" i="1" s="1"/>
  <c r="F73" i="1"/>
  <c r="H73" i="1" s="1"/>
  <c r="F72" i="1"/>
  <c r="H72" i="1" s="1"/>
  <c r="H71" i="1"/>
  <c r="J71" i="1" s="1"/>
  <c r="H70" i="1"/>
  <c r="J70" i="1" s="1"/>
  <c r="F69" i="1"/>
  <c r="H69" i="1" s="1"/>
  <c r="J69" i="1" s="1"/>
  <c r="F68" i="1"/>
  <c r="H68" i="1" s="1"/>
  <c r="J68" i="1" s="1"/>
  <c r="F67" i="1"/>
  <c r="H67" i="1" s="1"/>
  <c r="J67" i="1" s="1"/>
  <c r="F66" i="1"/>
  <c r="H66" i="1" s="1"/>
  <c r="J66" i="1" s="1"/>
  <c r="F77" i="1" l="1"/>
  <c r="H77" i="1"/>
  <c r="F79" i="1" l="1"/>
  <c r="H79" i="1" s="1"/>
  <c r="D56" i="1"/>
  <c r="F13" i="1"/>
  <c r="H13" i="1" s="1"/>
  <c r="J13" i="1" s="1"/>
  <c r="H16" i="1"/>
  <c r="J16" i="1" s="1"/>
  <c r="F5" i="1"/>
  <c r="H5" i="1" s="1"/>
  <c r="J5" i="1" s="1"/>
  <c r="F8" i="1"/>
  <c r="D22" i="1" l="1"/>
  <c r="H8" i="1"/>
  <c r="J8" i="1" s="1"/>
  <c r="F9" i="1"/>
  <c r="H9" i="1" s="1"/>
  <c r="J9" i="1" s="1"/>
  <c r="D10" i="2" l="1"/>
  <c r="F18" i="1" l="1"/>
  <c r="F11" i="1" l="1"/>
  <c r="H11" i="1" s="1"/>
  <c r="J11" i="1" s="1"/>
  <c r="F19" i="1"/>
  <c r="F22" i="1" l="1"/>
  <c r="F24" i="1" l="1"/>
  <c r="H24" i="1" s="1"/>
  <c r="J24" i="1" s="1"/>
  <c r="H17" i="1"/>
  <c r="J17" i="1" s="1"/>
  <c r="H18" i="1"/>
  <c r="J18" i="1" s="1"/>
  <c r="H19" i="1"/>
  <c r="J19" i="1" s="1"/>
  <c r="H22" i="1" l="1"/>
  <c r="J22" i="1" s="1"/>
</calcChain>
</file>

<file path=xl/sharedStrings.xml><?xml version="1.0" encoding="utf-8"?>
<sst xmlns="http://schemas.openxmlformats.org/spreadsheetml/2006/main" count="74" uniqueCount="54">
  <si>
    <t>Freight</t>
  </si>
  <si>
    <t>Consumables</t>
  </si>
  <si>
    <t>Engineering</t>
  </si>
  <si>
    <t>Total</t>
  </si>
  <si>
    <t>Cost</t>
  </si>
  <si>
    <t>Sell</t>
  </si>
  <si>
    <t>Gross Margin</t>
  </si>
  <si>
    <t>Used Equip Margin</t>
  </si>
  <si>
    <t>Garmin Altitude Encoder(s)</t>
  </si>
  <si>
    <t>Garmin GTN-650</t>
  </si>
  <si>
    <t>Trade In</t>
  </si>
  <si>
    <t>less Flat Rate Cert</t>
  </si>
  <si>
    <t>less 25%</t>
  </si>
  <si>
    <t>Garmin 400W GPS (ILS Price)</t>
  </si>
  <si>
    <t>Garmin GMA-350</t>
  </si>
  <si>
    <t>Garmin GTN-750</t>
  </si>
  <si>
    <t>GTX 335 Transponder</t>
  </si>
  <si>
    <t>GTX 345 Transponder</t>
  </si>
  <si>
    <t>G600 Standard Left-side/GAD 43e PFD LRU Kit</t>
  </si>
  <si>
    <t>G600 Install Kit With GAD 43E</t>
  </si>
  <si>
    <t>G600 Product Information Kit</t>
  </si>
  <si>
    <t>G600 Supplemental Database Card</t>
  </si>
  <si>
    <t>LH Panel</t>
  </si>
  <si>
    <t>Flight Stream 210</t>
  </si>
  <si>
    <t>CTR Panel</t>
  </si>
  <si>
    <t>Remove Equip</t>
  </si>
  <si>
    <t>GTP 59 OAT Probe</t>
  </si>
  <si>
    <t>GDU 620 LH Display Unit</t>
  </si>
  <si>
    <t>GAD 43e Gyro Adapter</t>
  </si>
  <si>
    <t>GDC74A Air Data System</t>
  </si>
  <si>
    <t>GRS 77 AHRS</t>
  </si>
  <si>
    <t>GMU 44 Magnetometer</t>
  </si>
  <si>
    <t>Misc Wiring</t>
  </si>
  <si>
    <t>Interior in/Out</t>
  </si>
  <si>
    <t>Antenna</t>
  </si>
  <si>
    <t>Total Labor</t>
  </si>
  <si>
    <t>APS65 Mode Annunciator</t>
  </si>
  <si>
    <t>Labor Estimates</t>
  </si>
  <si>
    <t>Installation 90 Hrs</t>
  </si>
  <si>
    <t>Garmin GTN-650 #1</t>
  </si>
  <si>
    <t>Garmin GTN-650 #2</t>
  </si>
  <si>
    <t>CB Panel</t>
  </si>
  <si>
    <t>%</t>
  </si>
  <si>
    <t>Installation 250 Hrs</t>
  </si>
  <si>
    <t>GAD 42 Adapter</t>
  </si>
  <si>
    <t>*16 Watt Comm Enablement</t>
  </si>
  <si>
    <t>Main Panel</t>
  </si>
  <si>
    <t>Garmin GWX 70 10 Inch with Install Kit</t>
  </si>
  <si>
    <t>GTN 725 black GPS receiver w/rack, backplate, conn kit, config module and product information kit*</t>
  </si>
  <si>
    <t>*SD Datacard (NavData, Terrain, Obstacle, FliteCharts, SafeTaxi)</t>
  </si>
  <si>
    <t>GA 35 GPS/WAAS antenna</t>
  </si>
  <si>
    <t>EL Panel</t>
  </si>
  <si>
    <t>GTX 345R Transponder</t>
  </si>
  <si>
    <t>GTX 335R Transponder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</si>
</sst>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indent="1"/>
    </xf>
    <xf numFmtId="0" fontId="1" fillId="0" borderId="0" xfId="0" applyFont="1"/>
    <xf numFmtId="0" fontId="2" fillId="0" borderId="0" xfId="0" applyFont="1" applyAlignment="1">
      <alignment horizontal="right" indent="1"/>
    </xf>
    <xf numFmtId="164" fontId="2" fillId="0" borderId="0" xfId="0" applyNumberFormat="1" applyFont="1" applyAlignment="1">
      <alignment horizontal="right" indent="1"/>
    </xf>
    <xf numFmtId="4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80"/>
  <sheetViews>
    <sheetView zoomScale="90" zoomScaleNormal="90" workbookViewId="0">
      <selection activeCell="D26" sqref="D26"/>
    </sheetView>
  </sheetViews>
  <sheetFormatPr defaultRowHeight="12.75" x14ac:dyDescent="0.2"/>
  <cols>
    <col min="1" max="1" width="9.140625" style="2"/>
    <col min="2" max="2" width="6.140625" style="2" customWidth="1"/>
    <col min="3" max="3" width="42.28515625" style="2" customWidth="1"/>
    <col min="4" max="4" width="22.42578125" style="12" customWidth="1"/>
    <col min="5" max="5" width="2.140625" style="12" customWidth="1"/>
    <col min="6" max="6" width="20.5703125" style="12" customWidth="1"/>
    <col min="7" max="7" width="1.7109375" style="12" customWidth="1"/>
    <col min="8" max="8" width="18.85546875" style="12" customWidth="1"/>
    <col min="9" max="9" width="2" style="12" customWidth="1"/>
    <col min="10" max="10" width="9.140625" style="14"/>
    <col min="11" max="16384" width="9.140625" style="2"/>
  </cols>
  <sheetData>
    <row r="3" spans="2:13" x14ac:dyDescent="0.2">
      <c r="C3" s="1"/>
      <c r="D3" s="7" t="s">
        <v>4</v>
      </c>
      <c r="E3" s="7"/>
      <c r="F3" s="8" t="s">
        <v>5</v>
      </c>
      <c r="G3" s="8"/>
      <c r="H3" s="7" t="s">
        <v>6</v>
      </c>
      <c r="I3" s="7"/>
      <c r="J3" s="7" t="s">
        <v>42</v>
      </c>
    </row>
    <row r="4" spans="2:13" x14ac:dyDescent="0.2">
      <c r="C4" s="1"/>
      <c r="D4" s="7"/>
      <c r="E4" s="7"/>
      <c r="F4" s="8"/>
      <c r="G4" s="8"/>
      <c r="H4" s="7"/>
      <c r="I4" s="7"/>
      <c r="J4" s="15"/>
    </row>
    <row r="5" spans="2:13" x14ac:dyDescent="0.2">
      <c r="B5" s="4">
        <v>1496</v>
      </c>
      <c r="C5" s="10" t="s">
        <v>14</v>
      </c>
      <c r="D5" s="4">
        <v>1496</v>
      </c>
      <c r="E5" s="4"/>
      <c r="F5" s="4">
        <f t="shared" ref="F5:F8" si="0">D5*1.176</f>
        <v>1759.2959999999998</v>
      </c>
      <c r="G5" s="4"/>
      <c r="H5" s="4">
        <f>F5-D5</f>
        <v>263.29599999999982</v>
      </c>
      <c r="I5" s="4"/>
      <c r="J5" s="15">
        <f t="shared" ref="J5:J22" si="1">H5/F5</f>
        <v>0.14965986394557815</v>
      </c>
      <c r="M5" s="16"/>
    </row>
    <row r="6" spans="2:13" x14ac:dyDescent="0.2">
      <c r="B6" s="4">
        <v>8550</v>
      </c>
      <c r="C6" s="10" t="s">
        <v>39</v>
      </c>
      <c r="D6" s="4">
        <v>8550</v>
      </c>
      <c r="E6" s="4"/>
      <c r="F6" s="4">
        <f t="shared" ref="F6:F7" si="2">D6*1.176</f>
        <v>10054.799999999999</v>
      </c>
      <c r="G6" s="4"/>
      <c r="H6" s="4">
        <f t="shared" ref="H6:H7" si="3">F6-D6</f>
        <v>1504.7999999999993</v>
      </c>
      <c r="I6" s="4"/>
      <c r="J6" s="15">
        <f t="shared" si="1"/>
        <v>0.14965986394557818</v>
      </c>
    </row>
    <row r="7" spans="2:13" x14ac:dyDescent="0.2">
      <c r="B7" s="4">
        <v>3746</v>
      </c>
      <c r="C7" s="10" t="s">
        <v>45</v>
      </c>
      <c r="D7" s="4">
        <v>0</v>
      </c>
      <c r="E7" s="4"/>
      <c r="F7" s="4">
        <f t="shared" si="2"/>
        <v>0</v>
      </c>
      <c r="G7" s="4"/>
      <c r="H7" s="4">
        <f t="shared" si="3"/>
        <v>0</v>
      </c>
      <c r="I7" s="4"/>
      <c r="J7" s="15" t="e">
        <f t="shared" si="1"/>
        <v>#DIV/0!</v>
      </c>
    </row>
    <row r="8" spans="2:13" x14ac:dyDescent="0.2">
      <c r="B8" s="4">
        <v>8550</v>
      </c>
      <c r="C8" s="10" t="s">
        <v>40</v>
      </c>
      <c r="D8" s="4">
        <v>8550</v>
      </c>
      <c r="E8" s="4"/>
      <c r="F8" s="4">
        <f t="shared" si="0"/>
        <v>10054.799999999999</v>
      </c>
      <c r="G8" s="4"/>
      <c r="H8" s="4">
        <f t="shared" ref="H8:H10" si="4">F8-D8</f>
        <v>1504.7999999999993</v>
      </c>
      <c r="I8" s="4"/>
      <c r="J8" s="15">
        <f t="shared" si="1"/>
        <v>0.14965986394557818</v>
      </c>
    </row>
    <row r="9" spans="2:13" x14ac:dyDescent="0.2">
      <c r="B9" s="4">
        <v>420</v>
      </c>
      <c r="C9" s="2" t="s">
        <v>8</v>
      </c>
      <c r="D9" s="4">
        <v>420</v>
      </c>
      <c r="E9" s="4"/>
      <c r="F9" s="4">
        <f t="shared" ref="F9" si="5">D9*1.176</f>
        <v>493.91999999999996</v>
      </c>
      <c r="G9" s="4"/>
      <c r="H9" s="4">
        <f t="shared" si="4"/>
        <v>73.919999999999959</v>
      </c>
      <c r="I9" s="4"/>
      <c r="J9" s="15">
        <f t="shared" si="1"/>
        <v>0.14965986394557815</v>
      </c>
    </row>
    <row r="10" spans="2:13" ht="13.5" customHeight="1" x14ac:dyDescent="0.2">
      <c r="B10" s="4">
        <v>3746</v>
      </c>
      <c r="C10" s="2" t="s">
        <v>17</v>
      </c>
      <c r="D10" s="4">
        <v>3746</v>
      </c>
      <c r="E10" s="4"/>
      <c r="F10" s="4">
        <f>D10*1.176</f>
        <v>4405.2959999999994</v>
      </c>
      <c r="G10" s="4"/>
      <c r="H10" s="4">
        <f t="shared" si="4"/>
        <v>659.29599999999937</v>
      </c>
      <c r="I10" s="4"/>
      <c r="J10" s="15">
        <f t="shared" si="1"/>
        <v>0.14965986394557812</v>
      </c>
    </row>
    <row r="11" spans="2:13" x14ac:dyDescent="0.2">
      <c r="B11" s="4">
        <v>2246</v>
      </c>
      <c r="C11" s="2" t="s">
        <v>16</v>
      </c>
      <c r="D11" s="4">
        <v>2246</v>
      </c>
      <c r="E11" s="4"/>
      <c r="F11" s="4">
        <f t="shared" ref="F11:F19" si="6">D11*1.176</f>
        <v>2641.2959999999998</v>
      </c>
      <c r="G11" s="4"/>
      <c r="H11" s="4">
        <f>F11-D11</f>
        <v>395.29599999999982</v>
      </c>
      <c r="I11" s="4"/>
      <c r="J11" s="15">
        <f t="shared" si="1"/>
        <v>0.14965986394557818</v>
      </c>
    </row>
    <row r="12" spans="2:13" x14ac:dyDescent="0.2">
      <c r="B12" s="4">
        <v>2625</v>
      </c>
      <c r="C12" s="2" t="s">
        <v>44</v>
      </c>
      <c r="D12" s="4">
        <v>2625</v>
      </c>
      <c r="E12" s="4"/>
      <c r="F12" s="4">
        <f>D12*1.176</f>
        <v>3087</v>
      </c>
      <c r="G12" s="4"/>
      <c r="H12" s="4">
        <f t="shared" ref="H12" si="7">F12-D12</f>
        <v>462</v>
      </c>
      <c r="I12" s="4"/>
      <c r="J12" s="15">
        <f t="shared" ref="J12" si="8">H12/F12</f>
        <v>0.14965986394557823</v>
      </c>
    </row>
    <row r="13" spans="2:13" x14ac:dyDescent="0.2">
      <c r="B13" s="4">
        <v>750</v>
      </c>
      <c r="C13" s="2" t="s">
        <v>23</v>
      </c>
      <c r="D13" s="4">
        <v>0</v>
      </c>
      <c r="E13" s="4"/>
      <c r="F13" s="4">
        <f>D13*1.176</f>
        <v>0</v>
      </c>
      <c r="G13" s="4"/>
      <c r="H13" s="4">
        <f t="shared" ref="H13" si="9">F13-D13</f>
        <v>0</v>
      </c>
      <c r="I13" s="4"/>
      <c r="J13" s="15" t="e">
        <f t="shared" si="1"/>
        <v>#DIV/0!</v>
      </c>
    </row>
    <row r="14" spans="2:13" x14ac:dyDescent="0.2">
      <c r="B14" s="4">
        <v>800</v>
      </c>
      <c r="C14" s="2" t="s">
        <v>41</v>
      </c>
      <c r="D14" s="4">
        <v>800</v>
      </c>
      <c r="E14" s="4"/>
      <c r="F14" s="4">
        <f>D14*1.176</f>
        <v>940.8</v>
      </c>
      <c r="G14" s="4"/>
      <c r="H14" s="4">
        <f t="shared" ref="H14:H15" si="10">F14-D14</f>
        <v>140.79999999999995</v>
      </c>
      <c r="I14" s="4"/>
      <c r="J14" s="15">
        <f t="shared" si="1"/>
        <v>0.1496598639455782</v>
      </c>
    </row>
    <row r="15" spans="2:13" x14ac:dyDescent="0.2">
      <c r="B15" s="4"/>
      <c r="C15" s="2" t="s">
        <v>46</v>
      </c>
      <c r="D15" s="4">
        <v>2000</v>
      </c>
      <c r="E15" s="4"/>
      <c r="F15" s="4">
        <f>D15*1.176</f>
        <v>2352</v>
      </c>
      <c r="G15" s="4"/>
      <c r="H15" s="4">
        <f t="shared" si="10"/>
        <v>352</v>
      </c>
      <c r="I15" s="4"/>
      <c r="J15" s="15">
        <f t="shared" si="1"/>
        <v>0.14965986394557823</v>
      </c>
    </row>
    <row r="16" spans="2:13" x14ac:dyDescent="0.2">
      <c r="B16" s="4">
        <v>13500</v>
      </c>
      <c r="C16" s="2" t="s">
        <v>43</v>
      </c>
      <c r="D16" s="4">
        <v>11250</v>
      </c>
      <c r="E16" s="4"/>
      <c r="F16" s="4">
        <v>21250</v>
      </c>
      <c r="G16" s="4"/>
      <c r="H16" s="4">
        <f t="shared" ref="H16:H19" si="11">F16-D16</f>
        <v>10000</v>
      </c>
      <c r="I16" s="4"/>
      <c r="J16" s="15">
        <f t="shared" si="1"/>
        <v>0.47058823529411764</v>
      </c>
    </row>
    <row r="17" spans="2:10" x14ac:dyDescent="0.2">
      <c r="B17" s="4">
        <v>350</v>
      </c>
      <c r="C17" s="2" t="s">
        <v>0</v>
      </c>
      <c r="D17" s="4">
        <v>250</v>
      </c>
      <c r="E17" s="4"/>
      <c r="F17" s="4">
        <v>250</v>
      </c>
      <c r="G17" s="4"/>
      <c r="H17" s="4">
        <f t="shared" si="11"/>
        <v>0</v>
      </c>
      <c r="I17" s="4"/>
      <c r="J17" s="15">
        <f t="shared" si="1"/>
        <v>0</v>
      </c>
    </row>
    <row r="18" spans="2:10" x14ac:dyDescent="0.2">
      <c r="B18" s="4">
        <v>2200</v>
      </c>
      <c r="C18" s="2" t="s">
        <v>1</v>
      </c>
      <c r="D18" s="4">
        <v>800</v>
      </c>
      <c r="E18" s="4"/>
      <c r="F18" s="4">
        <f t="shared" si="6"/>
        <v>940.8</v>
      </c>
      <c r="G18" s="4"/>
      <c r="H18" s="4">
        <f t="shared" si="11"/>
        <v>140.79999999999995</v>
      </c>
      <c r="I18" s="4"/>
      <c r="J18" s="15">
        <f t="shared" si="1"/>
        <v>0.1496598639455782</v>
      </c>
    </row>
    <row r="19" spans="2:10" x14ac:dyDescent="0.2">
      <c r="B19" s="4">
        <v>5500</v>
      </c>
      <c r="C19" s="2" t="s">
        <v>2</v>
      </c>
      <c r="D19" s="4">
        <v>2500</v>
      </c>
      <c r="E19" s="4"/>
      <c r="F19" s="4">
        <f t="shared" si="6"/>
        <v>2940</v>
      </c>
      <c r="G19" s="4"/>
      <c r="H19" s="4">
        <f t="shared" si="11"/>
        <v>440</v>
      </c>
      <c r="I19" s="4"/>
      <c r="J19" s="15">
        <f t="shared" si="1"/>
        <v>0.14965986394557823</v>
      </c>
    </row>
    <row r="20" spans="2:10" x14ac:dyDescent="0.2">
      <c r="D20" s="4"/>
      <c r="E20" s="4"/>
      <c r="F20" s="4"/>
      <c r="G20" s="4"/>
      <c r="H20" s="4"/>
      <c r="I20" s="4"/>
      <c r="J20" s="15"/>
    </row>
    <row r="21" spans="2:10" ht="13.5" thickBot="1" x14ac:dyDescent="0.25">
      <c r="C21" s="3"/>
      <c r="D21" s="4"/>
      <c r="E21" s="4"/>
      <c r="F21" s="5"/>
      <c r="G21" s="5"/>
      <c r="H21" s="4"/>
      <c r="I21" s="4"/>
      <c r="J21" s="15"/>
    </row>
    <row r="22" spans="2:10" ht="13.5" thickTop="1" x14ac:dyDescent="0.2">
      <c r="C22" s="3" t="s">
        <v>3</v>
      </c>
      <c r="D22" s="6">
        <f>SUM(D5:D21)</f>
        <v>45233</v>
      </c>
      <c r="E22" s="4"/>
      <c r="F22" s="6">
        <f>SUM(F5:F21)</f>
        <v>61170.008000000002</v>
      </c>
      <c r="G22" s="5"/>
      <c r="H22" s="6">
        <f>SUM(H5:H21)</f>
        <v>15937.007999999998</v>
      </c>
      <c r="I22" s="5"/>
      <c r="J22" s="15">
        <f t="shared" si="1"/>
        <v>0.2605363072700595</v>
      </c>
    </row>
    <row r="23" spans="2:10" x14ac:dyDescent="0.2">
      <c r="F23" s="4">
        <v>-1250</v>
      </c>
      <c r="J23" s="15"/>
    </row>
    <row r="24" spans="2:10" x14ac:dyDescent="0.2">
      <c r="F24" s="4">
        <f>F22+F23</f>
        <v>59920.008000000002</v>
      </c>
      <c r="H24" s="4">
        <f>F24-D22</f>
        <v>14687.008000000002</v>
      </c>
      <c r="J24" s="15">
        <f>H24/F24</f>
        <v>0.2451102476488321</v>
      </c>
    </row>
    <row r="25" spans="2:10" x14ac:dyDescent="0.2">
      <c r="F25" s="4"/>
      <c r="H25" s="4"/>
      <c r="J25" s="15"/>
    </row>
    <row r="26" spans="2:10" x14ac:dyDescent="0.2">
      <c r="F26" s="4"/>
      <c r="H26" s="4"/>
      <c r="J26" s="15"/>
    </row>
    <row r="27" spans="2:10" x14ac:dyDescent="0.2">
      <c r="F27" s="4"/>
      <c r="H27" s="4"/>
      <c r="J27" s="15"/>
    </row>
    <row r="28" spans="2:10" x14ac:dyDescent="0.2">
      <c r="F28" s="4"/>
      <c r="H28" s="4"/>
      <c r="J28" s="15"/>
    </row>
    <row r="29" spans="2:10" x14ac:dyDescent="0.2">
      <c r="F29" s="4"/>
      <c r="H29" s="4"/>
      <c r="J29" s="15"/>
    </row>
    <row r="30" spans="2:10" x14ac:dyDescent="0.2">
      <c r="J30" s="15"/>
    </row>
    <row r="34" spans="3:4" x14ac:dyDescent="0.2">
      <c r="C34" s="13" t="s">
        <v>37</v>
      </c>
    </row>
    <row r="36" spans="3:4" x14ac:dyDescent="0.2">
      <c r="C36" s="2" t="s">
        <v>22</v>
      </c>
      <c r="D36" s="12">
        <v>40</v>
      </c>
    </row>
    <row r="37" spans="3:4" x14ac:dyDescent="0.2">
      <c r="C37" s="2" t="s">
        <v>24</v>
      </c>
      <c r="D37" s="12">
        <v>40</v>
      </c>
    </row>
    <row r="38" spans="3:4" x14ac:dyDescent="0.2">
      <c r="C38" s="2" t="s">
        <v>25</v>
      </c>
      <c r="D38" s="12">
        <v>24</v>
      </c>
    </row>
    <row r="39" spans="3:4" x14ac:dyDescent="0.2">
      <c r="C39" s="2" t="s">
        <v>33</v>
      </c>
      <c r="D39" s="12">
        <v>24</v>
      </c>
    </row>
    <row r="40" spans="3:4" x14ac:dyDescent="0.2">
      <c r="C40" s="2" t="s">
        <v>27</v>
      </c>
      <c r="D40" s="12">
        <v>12</v>
      </c>
    </row>
    <row r="41" spans="3:4" x14ac:dyDescent="0.2">
      <c r="C41" s="2" t="s">
        <v>28</v>
      </c>
      <c r="D41" s="12">
        <v>12</v>
      </c>
    </row>
    <row r="42" spans="3:4" x14ac:dyDescent="0.2">
      <c r="C42" s="2" t="s">
        <v>29</v>
      </c>
      <c r="D42" s="12">
        <v>8</v>
      </c>
    </row>
    <row r="43" spans="3:4" x14ac:dyDescent="0.2">
      <c r="C43" s="2" t="s">
        <v>30</v>
      </c>
      <c r="D43" s="12">
        <v>8</v>
      </c>
    </row>
    <row r="44" spans="3:4" x14ac:dyDescent="0.2">
      <c r="C44" s="2" t="s">
        <v>31</v>
      </c>
      <c r="D44" s="12">
        <v>16</v>
      </c>
    </row>
    <row r="45" spans="3:4" x14ac:dyDescent="0.2">
      <c r="C45" s="2" t="s">
        <v>26</v>
      </c>
      <c r="D45" s="12">
        <v>8</v>
      </c>
    </row>
    <row r="46" spans="3:4" x14ac:dyDescent="0.2">
      <c r="C46" s="2" t="s">
        <v>36</v>
      </c>
      <c r="D46" s="12">
        <v>12</v>
      </c>
    </row>
    <row r="47" spans="3:4" x14ac:dyDescent="0.2">
      <c r="C47" s="10" t="s">
        <v>14</v>
      </c>
      <c r="D47" s="12">
        <v>12</v>
      </c>
    </row>
    <row r="48" spans="3:4" x14ac:dyDescent="0.2">
      <c r="C48" s="10" t="s">
        <v>15</v>
      </c>
      <c r="D48" s="12">
        <v>8</v>
      </c>
    </row>
    <row r="49" spans="3:10" x14ac:dyDescent="0.2">
      <c r="C49" s="10" t="s">
        <v>9</v>
      </c>
      <c r="D49" s="12">
        <v>8</v>
      </c>
    </row>
    <row r="50" spans="3:10" x14ac:dyDescent="0.2">
      <c r="C50" s="2" t="s">
        <v>17</v>
      </c>
      <c r="D50" s="12">
        <v>8</v>
      </c>
    </row>
    <row r="51" spans="3:10" x14ac:dyDescent="0.2">
      <c r="C51" s="2" t="s">
        <v>16</v>
      </c>
      <c r="D51" s="12">
        <v>8</v>
      </c>
    </row>
    <row r="52" spans="3:10" x14ac:dyDescent="0.2">
      <c r="C52" s="2" t="s">
        <v>23</v>
      </c>
      <c r="D52" s="12">
        <v>4</v>
      </c>
    </row>
    <row r="53" spans="3:10" x14ac:dyDescent="0.2">
      <c r="C53" s="2" t="s">
        <v>32</v>
      </c>
      <c r="D53" s="12">
        <v>24</v>
      </c>
    </row>
    <row r="54" spans="3:10" x14ac:dyDescent="0.2">
      <c r="C54" s="2" t="s">
        <v>34</v>
      </c>
      <c r="D54" s="12">
        <v>24</v>
      </c>
    </row>
    <row r="56" spans="3:10" x14ac:dyDescent="0.2">
      <c r="C56" s="2" t="s">
        <v>35</v>
      </c>
      <c r="D56" s="12">
        <f>SUM(D36:D54)</f>
        <v>300</v>
      </c>
    </row>
    <row r="61" spans="3:10" x14ac:dyDescent="0.2">
      <c r="J61" s="15" t="e">
        <f t="shared" ref="J61:J71" si="12">H61/F61</f>
        <v>#DIV/0!</v>
      </c>
    </row>
    <row r="62" spans="3:10" x14ac:dyDescent="0.2">
      <c r="J62" s="15" t="e">
        <f t="shared" si="12"/>
        <v>#DIV/0!</v>
      </c>
    </row>
    <row r="63" spans="3:10" x14ac:dyDescent="0.2">
      <c r="J63" s="15" t="e">
        <f t="shared" si="12"/>
        <v>#DIV/0!</v>
      </c>
    </row>
    <row r="64" spans="3:10" x14ac:dyDescent="0.2">
      <c r="J64" s="15" t="e">
        <f t="shared" si="12"/>
        <v>#DIV/0!</v>
      </c>
    </row>
    <row r="65" spans="3:10" x14ac:dyDescent="0.2">
      <c r="C65" s="10"/>
      <c r="D65" s="4"/>
      <c r="E65" s="4"/>
      <c r="F65" s="4"/>
      <c r="G65" s="4"/>
      <c r="H65" s="4"/>
      <c r="I65" s="4"/>
      <c r="J65" s="15" t="e">
        <f t="shared" si="12"/>
        <v>#DIV/0!</v>
      </c>
    </row>
    <row r="66" spans="3:10" x14ac:dyDescent="0.2">
      <c r="C66" s="10" t="s">
        <v>18</v>
      </c>
      <c r="D66" s="4">
        <v>22226</v>
      </c>
      <c r="E66" s="4"/>
      <c r="F66" s="4">
        <f t="shared" ref="F66:F69" si="13">D66*1.176</f>
        <v>26137.775999999998</v>
      </c>
      <c r="G66" s="4"/>
      <c r="H66" s="4">
        <f>F66-D66</f>
        <v>3911.775999999998</v>
      </c>
      <c r="I66" s="4"/>
      <c r="J66" s="15">
        <f t="shared" si="12"/>
        <v>0.14965986394557818</v>
      </c>
    </row>
    <row r="67" spans="3:10" x14ac:dyDescent="0.2">
      <c r="C67" s="10" t="s">
        <v>19</v>
      </c>
      <c r="D67" s="4">
        <v>1140</v>
      </c>
      <c r="E67" s="4"/>
      <c r="F67" s="4">
        <f t="shared" si="13"/>
        <v>1340.6399999999999</v>
      </c>
      <c r="G67" s="4"/>
      <c r="H67" s="4">
        <f t="shared" ref="H67:H74" si="14">F67-D67</f>
        <v>200.63999999999987</v>
      </c>
      <c r="I67" s="4"/>
      <c r="J67" s="15">
        <f t="shared" si="12"/>
        <v>0.14965986394557815</v>
      </c>
    </row>
    <row r="68" spans="3:10" x14ac:dyDescent="0.2">
      <c r="C68" s="10" t="s">
        <v>20</v>
      </c>
      <c r="D68" s="4">
        <v>199</v>
      </c>
      <c r="E68" s="4"/>
      <c r="F68" s="4">
        <f t="shared" si="13"/>
        <v>234.024</v>
      </c>
      <c r="G68" s="4"/>
      <c r="H68" s="4">
        <f t="shared" si="14"/>
        <v>35.024000000000001</v>
      </c>
      <c r="I68" s="4"/>
      <c r="J68" s="15">
        <f t="shared" si="12"/>
        <v>0.14965986394557823</v>
      </c>
    </row>
    <row r="69" spans="3:10" x14ac:dyDescent="0.2">
      <c r="C69" s="10" t="s">
        <v>21</v>
      </c>
      <c r="D69" s="4">
        <v>431</v>
      </c>
      <c r="E69" s="4"/>
      <c r="F69" s="4">
        <f t="shared" si="13"/>
        <v>506.85599999999999</v>
      </c>
      <c r="G69" s="4"/>
      <c r="H69" s="4">
        <f t="shared" si="14"/>
        <v>75.855999999999995</v>
      </c>
      <c r="I69" s="4"/>
      <c r="J69" s="15">
        <f t="shared" si="12"/>
        <v>0.14965986394557823</v>
      </c>
    </row>
    <row r="70" spans="3:10" x14ac:dyDescent="0.2">
      <c r="C70" s="2" t="s">
        <v>38</v>
      </c>
      <c r="D70" s="4">
        <v>4050</v>
      </c>
      <c r="E70" s="4"/>
      <c r="F70" s="4">
        <v>7650</v>
      </c>
      <c r="G70" s="4"/>
      <c r="H70" s="4">
        <f t="shared" si="14"/>
        <v>3600</v>
      </c>
      <c r="I70" s="4"/>
      <c r="J70" s="15">
        <f t="shared" si="12"/>
        <v>0.47058823529411764</v>
      </c>
    </row>
    <row r="71" spans="3:10" x14ac:dyDescent="0.2">
      <c r="C71" s="2" t="s">
        <v>0</v>
      </c>
      <c r="D71" s="4">
        <v>125</v>
      </c>
      <c r="E71" s="4"/>
      <c r="F71" s="4">
        <v>125</v>
      </c>
      <c r="G71" s="4"/>
      <c r="H71" s="4">
        <f t="shared" si="14"/>
        <v>0</v>
      </c>
      <c r="I71" s="4"/>
      <c r="J71" s="15">
        <f t="shared" si="12"/>
        <v>0</v>
      </c>
    </row>
    <row r="72" spans="3:10" x14ac:dyDescent="0.2">
      <c r="C72" s="2" t="s">
        <v>1</v>
      </c>
      <c r="D72" s="4">
        <v>450</v>
      </c>
      <c r="E72" s="4"/>
      <c r="F72" s="4">
        <f t="shared" ref="F72:F73" si="15">D72*1.176</f>
        <v>529.19999999999993</v>
      </c>
      <c r="G72" s="4"/>
      <c r="H72" s="4">
        <f t="shared" si="14"/>
        <v>79.199999999999932</v>
      </c>
      <c r="I72" s="4"/>
      <c r="J72" s="15"/>
    </row>
    <row r="73" spans="3:10" x14ac:dyDescent="0.2">
      <c r="C73" s="2" t="s">
        <v>2</v>
      </c>
      <c r="D73" s="4">
        <v>2050</v>
      </c>
      <c r="E73" s="4"/>
      <c r="F73" s="4">
        <f t="shared" si="15"/>
        <v>2410.7999999999997</v>
      </c>
      <c r="G73" s="4"/>
      <c r="H73" s="4">
        <f t="shared" si="14"/>
        <v>360.79999999999973</v>
      </c>
      <c r="I73" s="4"/>
      <c r="J73" s="15"/>
    </row>
    <row r="74" spans="3:10" x14ac:dyDescent="0.2">
      <c r="C74" s="2" t="s">
        <v>7</v>
      </c>
      <c r="D74" s="4">
        <v>0</v>
      </c>
      <c r="E74" s="4"/>
      <c r="F74" s="4"/>
      <c r="G74" s="4"/>
      <c r="H74" s="4">
        <f t="shared" si="14"/>
        <v>0</v>
      </c>
      <c r="I74" s="4"/>
      <c r="J74" s="15" t="e">
        <f>H74/F74</f>
        <v>#DIV/0!</v>
      </c>
    </row>
    <row r="75" spans="3:10" x14ac:dyDescent="0.2">
      <c r="D75" s="4"/>
      <c r="E75" s="4"/>
      <c r="F75" s="4"/>
      <c r="G75" s="4"/>
      <c r="H75" s="4"/>
      <c r="I75" s="4"/>
      <c r="J75" s="15"/>
    </row>
    <row r="76" spans="3:10" ht="13.5" thickBot="1" x14ac:dyDescent="0.25">
      <c r="C76" s="3"/>
      <c r="D76" s="4"/>
      <c r="E76" s="4"/>
      <c r="F76" s="5"/>
      <c r="G76" s="5"/>
      <c r="H76" s="4"/>
      <c r="I76" s="4"/>
      <c r="J76" s="15" t="e">
        <f t="shared" ref="J76" si="16">H76/F76</f>
        <v>#DIV/0!</v>
      </c>
    </row>
    <row r="77" spans="3:10" ht="13.5" thickTop="1" x14ac:dyDescent="0.2">
      <c r="C77" s="3" t="s">
        <v>3</v>
      </c>
      <c r="D77" s="6">
        <f>SUM(D65:D75)</f>
        <v>30671</v>
      </c>
      <c r="E77" s="6"/>
      <c r="F77" s="6">
        <f t="shared" ref="F77:I77" si="17">SUM(F65:F75)</f>
        <v>38934.296000000002</v>
      </c>
      <c r="G77" s="6">
        <f t="shared" si="17"/>
        <v>0</v>
      </c>
      <c r="H77" s="6">
        <f t="shared" si="17"/>
        <v>8263.2959999999966</v>
      </c>
      <c r="I77" s="6">
        <f t="shared" si="17"/>
        <v>0</v>
      </c>
    </row>
    <row r="78" spans="3:10" x14ac:dyDescent="0.2">
      <c r="F78" s="4">
        <v>0</v>
      </c>
    </row>
    <row r="79" spans="3:10" x14ac:dyDescent="0.2">
      <c r="F79" s="4">
        <f>F77+F78</f>
        <v>38934.296000000002</v>
      </c>
      <c r="H79" s="4">
        <f>F79-D77</f>
        <v>8263.2960000000021</v>
      </c>
    </row>
    <row r="80" spans="3:10" x14ac:dyDescent="0.2">
      <c r="F80" s="4"/>
      <c r="H80" s="4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2"/>
  <sheetViews>
    <sheetView tabSelected="1" workbookViewId="0">
      <selection activeCell="B23" sqref="B23"/>
    </sheetView>
  </sheetViews>
  <sheetFormatPr defaultRowHeight="15" x14ac:dyDescent="0.25"/>
  <cols>
    <col min="2" max="2" width="41.7109375" customWidth="1"/>
    <col min="3" max="3" width="15.42578125" customWidth="1"/>
    <col min="4" max="4" width="2.85546875" customWidth="1"/>
    <col min="5" max="5" width="13.42578125" customWidth="1"/>
    <col min="6" max="6" width="2.85546875" customWidth="1"/>
    <col min="7" max="7" width="13.28515625" customWidth="1"/>
    <col min="8" max="8" width="2.42578125" customWidth="1"/>
  </cols>
  <sheetData>
    <row r="3" spans="2:12" s="2" customFormat="1" ht="12.75" x14ac:dyDescent="0.2">
      <c r="B3" s="1"/>
      <c r="C3" s="7" t="s">
        <v>4</v>
      </c>
      <c r="D3" s="7"/>
      <c r="E3" s="8" t="s">
        <v>5</v>
      </c>
      <c r="F3" s="8"/>
      <c r="G3" s="7" t="s">
        <v>6</v>
      </c>
      <c r="H3" s="7"/>
      <c r="I3" s="7" t="s">
        <v>42</v>
      </c>
    </row>
    <row r="4" spans="2:12" s="2" customFormat="1" ht="12.75" x14ac:dyDescent="0.2">
      <c r="B4" s="1"/>
      <c r="C4" s="7"/>
      <c r="D4" s="7"/>
      <c r="E4" s="8"/>
      <c r="F4" s="8"/>
      <c r="G4" s="7"/>
      <c r="H4" s="7"/>
      <c r="I4" s="15"/>
    </row>
    <row r="5" spans="2:12" s="2" customFormat="1" ht="12.75" x14ac:dyDescent="0.2">
      <c r="B5" s="10" t="s">
        <v>47</v>
      </c>
      <c r="C5" s="4">
        <v>16496</v>
      </c>
      <c r="D5" s="4"/>
      <c r="E5" s="4">
        <f t="shared" ref="E5:E8" si="0">C5*1.176</f>
        <v>19399.295999999998</v>
      </c>
      <c r="F5" s="4"/>
      <c r="G5" s="4">
        <f>E5-C5</f>
        <v>2903.2959999999985</v>
      </c>
      <c r="H5" s="4"/>
      <c r="I5" s="15">
        <f t="shared" ref="I5:I20" si="1">G5/E5</f>
        <v>0.14965986394557818</v>
      </c>
      <c r="L5" s="16"/>
    </row>
    <row r="6" spans="2:12" s="2" customFormat="1" ht="12.75" x14ac:dyDescent="0.2">
      <c r="B6" s="10" t="s">
        <v>48</v>
      </c>
      <c r="C6" s="4">
        <v>10495</v>
      </c>
      <c r="D6" s="4"/>
      <c r="E6" s="4">
        <f t="shared" si="0"/>
        <v>12342.119999999999</v>
      </c>
      <c r="F6" s="4"/>
      <c r="G6" s="4">
        <f t="shared" ref="G6:G9" si="2">E6-C6</f>
        <v>1847.119999999999</v>
      </c>
      <c r="H6" s="4"/>
      <c r="I6" s="15">
        <f t="shared" si="1"/>
        <v>0.14965986394557815</v>
      </c>
    </row>
    <row r="7" spans="2:12" s="2" customFormat="1" ht="12.75" x14ac:dyDescent="0.2">
      <c r="B7" s="10" t="s">
        <v>49</v>
      </c>
      <c r="C7" s="4">
        <v>420</v>
      </c>
      <c r="D7" s="4"/>
      <c r="E7" s="4">
        <f t="shared" si="0"/>
        <v>493.91999999999996</v>
      </c>
      <c r="F7" s="4"/>
      <c r="G7" s="4">
        <f t="shared" si="2"/>
        <v>73.919999999999959</v>
      </c>
      <c r="H7" s="4"/>
      <c r="I7" s="15">
        <f t="shared" si="1"/>
        <v>0.14965986394557815</v>
      </c>
    </row>
    <row r="8" spans="2:12" s="2" customFormat="1" ht="12.75" x14ac:dyDescent="0.2">
      <c r="B8" s="10" t="s">
        <v>50</v>
      </c>
      <c r="C8" s="4">
        <v>265</v>
      </c>
      <c r="D8" s="4"/>
      <c r="E8" s="4">
        <f t="shared" si="0"/>
        <v>311.64</v>
      </c>
      <c r="F8" s="4"/>
      <c r="G8" s="4">
        <f t="shared" si="2"/>
        <v>46.639999999999986</v>
      </c>
      <c r="H8" s="4"/>
      <c r="I8" s="15">
        <f t="shared" si="1"/>
        <v>0.1496598639455782</v>
      </c>
    </row>
    <row r="9" spans="2:12" s="2" customFormat="1" ht="13.5" customHeight="1" x14ac:dyDescent="0.2">
      <c r="B9" s="2" t="s">
        <v>52</v>
      </c>
      <c r="C9" s="4">
        <v>3746</v>
      </c>
      <c r="D9" s="4"/>
      <c r="E9" s="4">
        <f>C9*1.176</f>
        <v>4405.2959999999994</v>
      </c>
      <c r="F9" s="4"/>
      <c r="G9" s="4">
        <f t="shared" si="2"/>
        <v>659.29599999999937</v>
      </c>
      <c r="H9" s="4"/>
      <c r="I9" s="15">
        <f t="shared" si="1"/>
        <v>0.14965986394557812</v>
      </c>
    </row>
    <row r="10" spans="2:12" s="2" customFormat="1" ht="12.75" x14ac:dyDescent="0.2">
      <c r="B10" s="2" t="s">
        <v>53</v>
      </c>
      <c r="C10" s="4">
        <v>2246</v>
      </c>
      <c r="D10" s="4"/>
      <c r="E10" s="4">
        <f t="shared" ref="E10:E17" si="3">C10*1.176</f>
        <v>2641.2959999999998</v>
      </c>
      <c r="F10" s="4"/>
      <c r="G10" s="4">
        <f>E10-C10</f>
        <v>395.29599999999982</v>
      </c>
      <c r="H10" s="4"/>
      <c r="I10" s="15">
        <f t="shared" si="1"/>
        <v>0.14965986394557818</v>
      </c>
    </row>
    <row r="11" spans="2:12" s="2" customFormat="1" ht="12.75" x14ac:dyDescent="0.2">
      <c r="B11" s="2" t="s">
        <v>44</v>
      </c>
      <c r="C11" s="4">
        <v>2625</v>
      </c>
      <c r="D11" s="4"/>
      <c r="E11" s="4">
        <f>C11*1.176</f>
        <v>3087</v>
      </c>
      <c r="F11" s="4"/>
      <c r="G11" s="4">
        <f t="shared" ref="G11:G17" si="4">E11-C11</f>
        <v>462</v>
      </c>
      <c r="H11" s="4"/>
      <c r="I11" s="15">
        <f t="shared" si="1"/>
        <v>0.14965986394557823</v>
      </c>
    </row>
    <row r="12" spans="2:12" s="2" customFormat="1" ht="12.75" x14ac:dyDescent="0.2">
      <c r="B12" s="2" t="s">
        <v>41</v>
      </c>
      <c r="C12" s="4"/>
      <c r="D12" s="4"/>
      <c r="E12" s="4">
        <f>C12*1.176</f>
        <v>0</v>
      </c>
      <c r="F12" s="4"/>
      <c r="G12" s="4">
        <f t="shared" si="4"/>
        <v>0</v>
      </c>
      <c r="H12" s="4"/>
      <c r="I12" s="15" t="e">
        <f t="shared" si="1"/>
        <v>#DIV/0!</v>
      </c>
    </row>
    <row r="13" spans="2:12" s="2" customFormat="1" ht="12.75" x14ac:dyDescent="0.2">
      <c r="B13" s="2" t="s">
        <v>51</v>
      </c>
      <c r="C13" s="4">
        <v>1200</v>
      </c>
      <c r="D13" s="4"/>
      <c r="E13" s="4">
        <f>C13*1.176</f>
        <v>1411.1999999999998</v>
      </c>
      <c r="F13" s="4"/>
      <c r="G13" s="4">
        <f t="shared" si="4"/>
        <v>211.19999999999982</v>
      </c>
      <c r="H13" s="4"/>
      <c r="I13" s="15">
        <f t="shared" si="1"/>
        <v>0.14965986394557812</v>
      </c>
    </row>
    <row r="14" spans="2:12" s="2" customFormat="1" ht="12.75" x14ac:dyDescent="0.2">
      <c r="B14" s="2" t="s">
        <v>43</v>
      </c>
      <c r="C14" s="4">
        <v>11250</v>
      </c>
      <c r="D14" s="4"/>
      <c r="E14" s="4">
        <v>21250</v>
      </c>
      <c r="F14" s="4"/>
      <c r="G14" s="4">
        <f t="shared" si="4"/>
        <v>10000</v>
      </c>
      <c r="H14" s="4"/>
      <c r="I14" s="15">
        <f t="shared" si="1"/>
        <v>0.47058823529411764</v>
      </c>
    </row>
    <row r="15" spans="2:12" s="2" customFormat="1" ht="12.75" x14ac:dyDescent="0.2">
      <c r="B15" s="2" t="s">
        <v>0</v>
      </c>
      <c r="C15" s="4">
        <v>250</v>
      </c>
      <c r="D15" s="4"/>
      <c r="E15" s="4">
        <v>250</v>
      </c>
      <c r="F15" s="4"/>
      <c r="G15" s="4">
        <f t="shared" si="4"/>
        <v>0</v>
      </c>
      <c r="H15" s="4"/>
      <c r="I15" s="15">
        <f t="shared" si="1"/>
        <v>0</v>
      </c>
    </row>
    <row r="16" spans="2:12" s="2" customFormat="1" ht="12.75" x14ac:dyDescent="0.2">
      <c r="B16" s="2" t="s">
        <v>1</v>
      </c>
      <c r="C16" s="4">
        <v>800</v>
      </c>
      <c r="D16" s="4"/>
      <c r="E16" s="4">
        <f t="shared" si="3"/>
        <v>940.8</v>
      </c>
      <c r="F16" s="4"/>
      <c r="G16" s="4">
        <f t="shared" si="4"/>
        <v>140.79999999999995</v>
      </c>
      <c r="H16" s="4"/>
      <c r="I16" s="15">
        <f t="shared" si="1"/>
        <v>0.1496598639455782</v>
      </c>
    </row>
    <row r="17" spans="2:9" s="2" customFormat="1" ht="12.75" x14ac:dyDescent="0.2">
      <c r="B17" s="2" t="s">
        <v>2</v>
      </c>
      <c r="C17" s="4">
        <v>2500</v>
      </c>
      <c r="D17" s="4"/>
      <c r="E17" s="4">
        <f t="shared" si="3"/>
        <v>2940</v>
      </c>
      <c r="F17" s="4"/>
      <c r="G17" s="4">
        <f t="shared" si="4"/>
        <v>440</v>
      </c>
      <c r="H17" s="4"/>
      <c r="I17" s="15">
        <f t="shared" si="1"/>
        <v>0.14965986394557823</v>
      </c>
    </row>
    <row r="18" spans="2:9" s="2" customFormat="1" ht="12.75" x14ac:dyDescent="0.2">
      <c r="C18" s="4"/>
      <c r="D18" s="4"/>
      <c r="E18" s="4"/>
      <c r="F18" s="4"/>
      <c r="G18" s="4"/>
      <c r="H18" s="4"/>
      <c r="I18" s="15"/>
    </row>
    <row r="19" spans="2:9" s="2" customFormat="1" ht="13.5" thickBot="1" x14ac:dyDescent="0.25">
      <c r="B19" s="3"/>
      <c r="C19" s="4"/>
      <c r="D19" s="4"/>
      <c r="E19" s="5"/>
      <c r="F19" s="5"/>
      <c r="G19" s="4"/>
      <c r="H19" s="4"/>
      <c r="I19" s="15"/>
    </row>
    <row r="20" spans="2:9" s="2" customFormat="1" ht="13.5" thickTop="1" x14ac:dyDescent="0.2">
      <c r="B20" s="3" t="s">
        <v>3</v>
      </c>
      <c r="C20" s="6">
        <f>SUM(C5:C19)</f>
        <v>52293</v>
      </c>
      <c r="D20" s="4"/>
      <c r="E20" s="6">
        <f>SUM(E5:E19)</f>
        <v>69472.567999999999</v>
      </c>
      <c r="F20" s="5"/>
      <c r="G20" s="6">
        <f>SUM(G5:G19)</f>
        <v>17179.567999999996</v>
      </c>
      <c r="H20" s="5"/>
      <c r="I20" s="15">
        <f t="shared" si="1"/>
        <v>0.24728563366190806</v>
      </c>
    </row>
    <row r="21" spans="2:9" s="2" customFormat="1" ht="12.75" x14ac:dyDescent="0.2">
      <c r="C21" s="12"/>
      <c r="D21" s="12"/>
      <c r="E21" s="4">
        <v>-2150</v>
      </c>
      <c r="F21" s="12"/>
      <c r="G21" s="12"/>
      <c r="H21" s="12"/>
      <c r="I21" s="15"/>
    </row>
    <row r="22" spans="2:9" s="2" customFormat="1" ht="12.75" x14ac:dyDescent="0.2">
      <c r="C22" s="12"/>
      <c r="D22" s="12"/>
      <c r="E22" s="4">
        <f>E20+E21</f>
        <v>67322.567999999999</v>
      </c>
      <c r="F22" s="12"/>
      <c r="G22" s="4">
        <f>E22-C20</f>
        <v>15029.567999999999</v>
      </c>
      <c r="H22" s="12"/>
      <c r="I22" s="15">
        <f>G22/E22</f>
        <v>0.22324709895201858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9" customWidth="1"/>
    <col min="6" max="7" width="10.5703125" bestFit="1" customWidth="1"/>
  </cols>
  <sheetData>
    <row r="4" spans="3:7" x14ac:dyDescent="0.25">
      <c r="C4" s="11" t="s">
        <v>10</v>
      </c>
    </row>
    <row r="6" spans="3:7" x14ac:dyDescent="0.25">
      <c r="C6" t="s">
        <v>13</v>
      </c>
      <c r="D6" s="9">
        <v>4650</v>
      </c>
      <c r="F6" s="9"/>
    </row>
    <row r="7" spans="3:7" x14ac:dyDescent="0.25">
      <c r="C7" t="s">
        <v>11</v>
      </c>
      <c r="D7" s="9">
        <v>-720</v>
      </c>
    </row>
    <row r="8" spans="3:7" x14ac:dyDescent="0.25">
      <c r="C8" t="s">
        <v>12</v>
      </c>
      <c r="D8" s="9">
        <v>-1250</v>
      </c>
    </row>
    <row r="10" spans="3:7" x14ac:dyDescent="0.25">
      <c r="C10" t="s">
        <v>10</v>
      </c>
      <c r="D10" s="9">
        <f>SUM(D6:D9)</f>
        <v>2680</v>
      </c>
      <c r="G10" s="9"/>
    </row>
    <row r="14" spans="3:7" x14ac:dyDescent="0.25">
      <c r="G1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cp:lastPrinted>2016-12-01T17:12:57Z</cp:lastPrinted>
  <dcterms:created xsi:type="dcterms:W3CDTF">2016-10-06T22:22:22Z</dcterms:created>
  <dcterms:modified xsi:type="dcterms:W3CDTF">2017-02-28T16:23:23Z</dcterms:modified>
</cp:coreProperties>
</file>