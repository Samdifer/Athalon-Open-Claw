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M:\Maintenance\Mayo Quotes 2016_2017\"/>
    </mc:Choice>
  </mc:AlternateContent>
  <bookViews>
    <workbookView xWindow="0" yWindow="0" windowWidth="10344" windowHeight="2520" xr2:uid="{C8A459A9-1DE9-4038-8991-5CAF8C1794AE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2" i="1" l="1"/>
  <c r="F42" i="1"/>
  <c r="D42" i="1"/>
  <c r="F41" i="1"/>
  <c r="D41" i="1"/>
  <c r="G41" i="1" s="1"/>
  <c r="F40" i="1"/>
  <c r="D40" i="1"/>
  <c r="G40" i="1" s="1"/>
  <c r="F39" i="1"/>
  <c r="G39" i="1" s="1"/>
  <c r="D39" i="1"/>
  <c r="G38" i="1"/>
  <c r="F38" i="1"/>
  <c r="D38" i="1"/>
  <c r="F37" i="1"/>
  <c r="D37" i="1"/>
  <c r="G37" i="1" s="1"/>
  <c r="F36" i="1"/>
  <c r="D36" i="1"/>
  <c r="G36" i="1" s="1"/>
  <c r="F35" i="1"/>
  <c r="D35" i="1"/>
  <c r="G35" i="1" s="1"/>
  <c r="F34" i="1"/>
  <c r="G34" i="1" s="1"/>
  <c r="D34" i="1"/>
  <c r="G33" i="1"/>
  <c r="F33" i="1"/>
  <c r="D33" i="1"/>
  <c r="F32" i="1"/>
  <c r="D32" i="1"/>
  <c r="G32" i="1" s="1"/>
  <c r="F31" i="1"/>
  <c r="D31" i="1"/>
  <c r="G31" i="1" s="1"/>
  <c r="F30" i="1"/>
  <c r="D30" i="1"/>
  <c r="G30" i="1" s="1"/>
  <c r="F29" i="1"/>
  <c r="D29" i="1"/>
  <c r="G29" i="1" s="1"/>
  <c r="F28" i="1"/>
  <c r="G28" i="1" s="1"/>
  <c r="D28" i="1"/>
  <c r="F27" i="1"/>
  <c r="G27" i="1" s="1"/>
  <c r="D27" i="1"/>
  <c r="F26" i="1"/>
  <c r="G26" i="1" s="1"/>
  <c r="D26" i="1"/>
  <c r="G25" i="1"/>
  <c r="D25" i="1"/>
  <c r="D24" i="1"/>
  <c r="E24" i="1" s="1"/>
  <c r="F24" i="1" s="1"/>
  <c r="F23" i="1"/>
  <c r="D23" i="1"/>
  <c r="G24" i="1" s="1"/>
  <c r="G22" i="1"/>
  <c r="F22" i="1"/>
  <c r="K19" i="1" s="1"/>
  <c r="D22" i="1"/>
  <c r="D21" i="1"/>
  <c r="G21" i="1" s="1"/>
  <c r="F20" i="1"/>
  <c r="D20" i="1"/>
  <c r="K17" i="1"/>
  <c r="J17" i="1"/>
  <c r="I17" i="1"/>
  <c r="H17" i="1"/>
  <c r="G17" i="1"/>
  <c r="A43" i="1" s="1"/>
  <c r="F17" i="1"/>
  <c r="E17" i="1"/>
  <c r="D17" i="1"/>
  <c r="C17" i="1"/>
  <c r="L16" i="1"/>
  <c r="L15" i="1"/>
  <c r="L14" i="1"/>
  <c r="L13" i="1"/>
  <c r="L12" i="1"/>
  <c r="L11" i="1"/>
  <c r="L10" i="1"/>
  <c r="L9" i="1"/>
  <c r="L8" i="1"/>
  <c r="L17" i="1" s="1"/>
  <c r="A44" i="1" s="1"/>
  <c r="F43" i="1" l="1"/>
  <c r="D43" i="1"/>
  <c r="K20" i="1"/>
  <c r="K21" i="1" s="1"/>
  <c r="F44" i="1"/>
  <c r="D44" i="1"/>
  <c r="D45" i="1" s="1"/>
  <c r="K26" i="1" s="1"/>
  <c r="F45" i="1"/>
  <c r="G23" i="1"/>
  <c r="G20" i="1"/>
  <c r="K23" i="1" l="1"/>
  <c r="K24" i="1" s="1"/>
  <c r="K27" i="1" s="1"/>
  <c r="K30" i="1" l="1"/>
  <c r="K35" i="1"/>
  <c r="K29" i="1"/>
</calcChain>
</file>

<file path=xl/sharedStrings.xml><?xml version="1.0" encoding="utf-8"?>
<sst xmlns="http://schemas.openxmlformats.org/spreadsheetml/2006/main" count="53" uniqueCount="51">
  <si>
    <t>Mayo Aviation</t>
  </si>
  <si>
    <t>Man-hours</t>
  </si>
  <si>
    <t>Sheet</t>
  </si>
  <si>
    <t>Avionic</t>
  </si>
  <si>
    <t xml:space="preserve">Structural </t>
  </si>
  <si>
    <t>Test</t>
  </si>
  <si>
    <t>Spec No.</t>
  </si>
  <si>
    <t>Description</t>
  </si>
  <si>
    <t>Interiors</t>
  </si>
  <si>
    <t>Avionics</t>
  </si>
  <si>
    <t>Maintenance</t>
  </si>
  <si>
    <t>Metal</t>
  </si>
  <si>
    <t>Engineering</t>
  </si>
  <si>
    <t>Paint</t>
  </si>
  <si>
    <t>QC</t>
  </si>
  <si>
    <t>Flight</t>
  </si>
  <si>
    <t>Total</t>
  </si>
  <si>
    <t>Upgrade TDR 94D'S to ADSB Standard</t>
  </si>
  <si>
    <t xml:space="preserve">  Interior R&amp;R</t>
  </si>
  <si>
    <t xml:space="preserve">  Fabricate wire harnesses</t>
  </si>
  <si>
    <t xml:space="preserve">  Fabricate structual components</t>
  </si>
  <si>
    <t xml:space="preserve">  Install Wire harnesses</t>
  </si>
  <si>
    <t xml:space="preserve">  Install Structural components</t>
  </si>
  <si>
    <t xml:space="preserve">  Install equipment</t>
  </si>
  <si>
    <t xml:space="preserve">  System Testing</t>
  </si>
  <si>
    <t xml:space="preserve">  System engineering</t>
  </si>
  <si>
    <t xml:space="preserve"> </t>
  </si>
  <si>
    <t>Qty</t>
  </si>
  <si>
    <t>Model</t>
  </si>
  <si>
    <t>List</t>
  </si>
  <si>
    <t>Ext List</t>
  </si>
  <si>
    <t>Cost</t>
  </si>
  <si>
    <t>Ext Cost</t>
  </si>
  <si>
    <t>Total Parts Cost</t>
  </si>
  <si>
    <t>Parts Margin</t>
  </si>
  <si>
    <t>Parts Sale Price</t>
  </si>
  <si>
    <t xml:space="preserve">CMD ADSB STC STO3424CH </t>
  </si>
  <si>
    <t>misc Materials</t>
  </si>
  <si>
    <t>Labor List</t>
  </si>
  <si>
    <t>Customer Price</t>
  </si>
  <si>
    <t>Published List Price Installed</t>
  </si>
  <si>
    <t>Discount from List Price</t>
  </si>
  <si>
    <t>Total Project Profit at Sale Price</t>
  </si>
  <si>
    <t>Total Project Margin at Sale Price</t>
  </si>
  <si>
    <t>DOWNTIME: xx days</t>
  </si>
  <si>
    <t>EBIT Margin @ $68.00/hr cost</t>
  </si>
  <si>
    <t>Engineering Labor</t>
  </si>
  <si>
    <t xml:space="preserve">Labor </t>
  </si>
  <si>
    <t>Quotation Roll-up: N10WZ,  CJ2 ADS-B</t>
  </si>
  <si>
    <t>GPS-4000A upgrade to GPS-4000S P/N 822-2189-100</t>
  </si>
  <si>
    <t>2 each TDR 94 P/N 622-9210-008 Upgrade to 622-9210-501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</si>
</sst>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000_);_(* \(#,##0.00\);_(* &quot;-&quot;??_);_(@_)"/>
    <numFmt numFmtId="165" formatCode="_(* #,##0.0_);_(* \(#,##0.0\);_(* &quot;-&quot;??_);_(@_)"/>
    <numFmt numFmtId="166" formatCode="0.0"/>
    <numFmt numFmtId="167" formatCode="0.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b/>
      <sz val="8"/>
      <name val="Arial"/>
      <family val="2"/>
    </font>
    <font>
      <sz val="8"/>
      <name val="Times New Roman"/>
      <family val="1"/>
    </font>
    <font>
      <i/>
      <sz val="8"/>
      <name val="Times New Roman"/>
      <family val="1"/>
    </font>
    <font>
      <sz val="8"/>
      <color rgb="FFFF0000"/>
      <name val="Times New Roman"/>
      <family val="1"/>
    </font>
    <font>
      <b/>
      <sz val="8"/>
      <name val="Times New Roman"/>
      <family val="1"/>
    </font>
    <font>
      <b/>
      <i/>
      <sz val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centerContinuous" wrapText="1"/>
    </xf>
    <xf numFmtId="0" fontId="3" fillId="0" borderId="0" xfId="0" applyFont="1" applyAlignment="1">
      <alignment horizontal="centerContinuous"/>
    </xf>
    <xf numFmtId="0" fontId="3" fillId="0" borderId="0" xfId="0" applyFont="1"/>
    <xf numFmtId="164" fontId="4" fillId="0" borderId="0" xfId="1" applyNumberFormat="1" applyFont="1" applyFill="1" applyAlignment="1">
      <alignment horizontal="centerContinuous"/>
    </xf>
    <xf numFmtId="0" fontId="3" fillId="0" borderId="0" xfId="0" applyFont="1" applyAlignment="1">
      <alignment wrapText="1"/>
    </xf>
    <xf numFmtId="0" fontId="5" fillId="0" borderId="1" xfId="0" applyFont="1" applyBorder="1"/>
    <xf numFmtId="0" fontId="5" fillId="0" borderId="1" xfId="0" applyFont="1" applyBorder="1" applyAlignment="1">
      <alignment wrapText="1"/>
    </xf>
    <xf numFmtId="164" fontId="6" fillId="0" borderId="1" xfId="1" applyNumberFormat="1" applyFont="1" applyBorder="1" applyAlignment="1">
      <alignment horizontal="centerContinuous"/>
    </xf>
    <xf numFmtId="165" fontId="5" fillId="0" borderId="1" xfId="1" applyNumberFormat="1" applyFont="1" applyBorder="1" applyAlignment="1">
      <alignment horizontal="centerContinuous"/>
    </xf>
    <xf numFmtId="0" fontId="5" fillId="0" borderId="2" xfId="0" applyFont="1" applyBorder="1" applyAlignment="1">
      <alignment horizontal="centerContinuous"/>
    </xf>
    <xf numFmtId="0" fontId="5" fillId="0" borderId="1" xfId="0" applyFont="1" applyBorder="1" applyAlignment="1">
      <alignment horizontal="centerContinuous"/>
    </xf>
    <xf numFmtId="164" fontId="6" fillId="0" borderId="3" xfId="1" applyNumberFormat="1" applyFont="1" applyBorder="1" applyAlignment="1">
      <alignment horizontal="right"/>
    </xf>
    <xf numFmtId="0" fontId="5" fillId="0" borderId="3" xfId="0" applyFont="1" applyBorder="1" applyAlignment="1">
      <alignment wrapText="1"/>
    </xf>
    <xf numFmtId="165" fontId="5" fillId="0" borderId="3" xfId="1" applyNumberFormat="1" applyFont="1" applyBorder="1" applyAlignment="1">
      <alignment horizontal="center"/>
    </xf>
    <xf numFmtId="165" fontId="5" fillId="0" borderId="4" xfId="1" applyNumberFormat="1" applyFont="1" applyBorder="1" applyAlignment="1">
      <alignment horizontal="center"/>
    </xf>
    <xf numFmtId="165" fontId="5" fillId="0" borderId="5" xfId="1" applyNumberFormat="1" applyFont="1" applyBorder="1" applyAlignment="1">
      <alignment horizontal="center"/>
    </xf>
    <xf numFmtId="164" fontId="5" fillId="0" borderId="6" xfId="1" applyNumberFormat="1" applyFont="1" applyBorder="1" applyAlignment="1">
      <alignment horizontal="right"/>
    </xf>
    <xf numFmtId="0" fontId="5" fillId="0" borderId="6" xfId="0" applyFont="1" applyBorder="1" applyAlignment="1">
      <alignment wrapText="1"/>
    </xf>
    <xf numFmtId="165" fontId="5" fillId="0" borderId="6" xfId="1" applyNumberFormat="1" applyFont="1" applyBorder="1" applyAlignment="1">
      <alignment horizontal="center"/>
    </xf>
    <xf numFmtId="43" fontId="5" fillId="0" borderId="7" xfId="1" applyFont="1" applyBorder="1"/>
    <xf numFmtId="0" fontId="5" fillId="0" borderId="7" xfId="0" applyFont="1" applyBorder="1" applyAlignment="1">
      <alignment wrapText="1"/>
    </xf>
    <xf numFmtId="0" fontId="5" fillId="0" borderId="7" xfId="0" applyFont="1" applyBorder="1"/>
    <xf numFmtId="165" fontId="5" fillId="0" borderId="7" xfId="1" applyNumberFormat="1" applyFont="1" applyBorder="1"/>
    <xf numFmtId="166" fontId="5" fillId="0" borderId="7" xfId="0" applyNumberFormat="1" applyFont="1" applyBorder="1"/>
    <xf numFmtId="0" fontId="5" fillId="0" borderId="0" xfId="0" applyFont="1"/>
    <xf numFmtId="0" fontId="5" fillId="2" borderId="7" xfId="0" applyFont="1" applyFill="1" applyBorder="1"/>
    <xf numFmtId="0" fontId="7" fillId="0" borderId="7" xfId="0" applyFont="1" applyBorder="1" applyAlignment="1">
      <alignment wrapText="1"/>
    </xf>
    <xf numFmtId="0" fontId="5" fillId="0" borderId="0" xfId="0" applyFont="1" applyAlignment="1">
      <alignment wrapText="1"/>
    </xf>
    <xf numFmtId="0" fontId="8" fillId="0" borderId="8" xfId="0" applyFont="1" applyFill="1" applyBorder="1" applyAlignment="1">
      <alignment horizontal="center"/>
    </xf>
    <xf numFmtId="0" fontId="8" fillId="0" borderId="8" xfId="0" applyFont="1" applyFill="1" applyBorder="1" applyAlignment="1">
      <alignment horizontal="center" wrapText="1"/>
    </xf>
    <xf numFmtId="0" fontId="8" fillId="0" borderId="0" xfId="0" applyFont="1"/>
    <xf numFmtId="42" fontId="5" fillId="0" borderId="0" xfId="0" applyNumberFormat="1" applyFont="1"/>
    <xf numFmtId="0" fontId="5" fillId="0" borderId="7" xfId="0" applyFont="1" applyFill="1" applyBorder="1" applyAlignment="1"/>
    <xf numFmtId="0" fontId="5" fillId="0" borderId="7" xfId="0" applyFont="1" applyFill="1" applyBorder="1" applyAlignment="1">
      <alignment wrapText="1"/>
    </xf>
    <xf numFmtId="42" fontId="5" fillId="0" borderId="7" xfId="0" applyNumberFormat="1" applyFont="1" applyFill="1" applyBorder="1" applyAlignment="1"/>
    <xf numFmtId="9" fontId="5" fillId="0" borderId="0" xfId="2" applyFont="1"/>
    <xf numFmtId="9" fontId="5" fillId="0" borderId="0" xfId="0" applyNumberFormat="1" applyFont="1"/>
    <xf numFmtId="44" fontId="5" fillId="0" borderId="0" xfId="0" applyNumberFormat="1" applyFont="1"/>
    <xf numFmtId="42" fontId="5" fillId="3" borderId="7" xfId="0" applyNumberFormat="1" applyFont="1" applyFill="1" applyBorder="1" applyAlignment="1"/>
    <xf numFmtId="42" fontId="5" fillId="0" borderId="9" xfId="0" applyNumberFormat="1" applyFont="1" applyBorder="1"/>
    <xf numFmtId="0" fontId="7" fillId="0" borderId="7" xfId="0" applyFont="1" applyFill="1" applyBorder="1" applyAlignment="1">
      <alignment wrapText="1"/>
    </xf>
    <xf numFmtId="0" fontId="9" fillId="0" borderId="0" xfId="0" applyFont="1"/>
    <xf numFmtId="167" fontId="5" fillId="0" borderId="0" xfId="0" applyNumberFormat="1" applyFont="1"/>
    <xf numFmtId="167" fontId="5" fillId="0" borderId="0" xfId="2" applyNumberFormat="1" applyFont="1"/>
    <xf numFmtId="43" fontId="5" fillId="0" borderId="7" xfId="1" applyFont="1" applyFill="1" applyBorder="1" applyAlignment="1"/>
    <xf numFmtId="0" fontId="5" fillId="0" borderId="10" xfId="0" applyFont="1" applyFill="1" applyBorder="1" applyAlignment="1"/>
    <xf numFmtId="0" fontId="5" fillId="0" borderId="10" xfId="0" applyFont="1" applyFill="1" applyBorder="1" applyAlignment="1">
      <alignment wrapText="1"/>
    </xf>
    <xf numFmtId="42" fontId="5" fillId="0" borderId="10" xfId="0" applyNumberFormat="1" applyFont="1" applyFill="1" applyBorder="1" applyAlignme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90CDC-2AF5-4D40-B46C-AB352E3C2A9A}">
  <dimension ref="A1:L46"/>
  <sheetViews>
    <sheetView tabSelected="1" workbookViewId="0">
      <selection activeCell="A3" sqref="A3"/>
    </sheetView>
  </sheetViews>
  <sheetFormatPr defaultColWidth="9.109375" defaultRowHeight="13.2" x14ac:dyDescent="0.25"/>
  <cols>
    <col min="1" max="1" width="7.109375" style="4" customWidth="1"/>
    <col min="2" max="2" width="29.109375" style="6" customWidth="1"/>
    <col min="3" max="3" width="8.6640625" style="4" customWidth="1"/>
    <col min="4" max="4" width="11.88671875" style="4" customWidth="1"/>
    <col min="5" max="5" width="10.109375" style="4" customWidth="1"/>
    <col min="6" max="6" width="12" style="4" customWidth="1"/>
    <col min="7" max="9" width="9.109375" style="4"/>
    <col min="10" max="10" width="11.33203125" style="4" customWidth="1"/>
    <col min="11" max="11" width="11" style="4" customWidth="1"/>
    <col min="12" max="256" width="9.109375" style="4"/>
    <col min="257" max="257" width="7.109375" style="4" customWidth="1"/>
    <col min="258" max="258" width="29.109375" style="4" customWidth="1"/>
    <col min="259" max="259" width="8.6640625" style="4" customWidth="1"/>
    <col min="260" max="260" width="11.88671875" style="4" customWidth="1"/>
    <col min="261" max="261" width="10.109375" style="4" customWidth="1"/>
    <col min="262" max="262" width="12" style="4" customWidth="1"/>
    <col min="263" max="265" width="9.109375" style="4"/>
    <col min="266" max="266" width="11.33203125" style="4" customWidth="1"/>
    <col min="267" max="267" width="11" style="4" customWidth="1"/>
    <col min="268" max="512" width="9.109375" style="4"/>
    <col min="513" max="513" width="7.109375" style="4" customWidth="1"/>
    <col min="514" max="514" width="29.109375" style="4" customWidth="1"/>
    <col min="515" max="515" width="8.6640625" style="4" customWidth="1"/>
    <col min="516" max="516" width="11.88671875" style="4" customWidth="1"/>
    <col min="517" max="517" width="10.109375" style="4" customWidth="1"/>
    <col min="518" max="518" width="12" style="4" customWidth="1"/>
    <col min="519" max="521" width="9.109375" style="4"/>
    <col min="522" max="522" width="11.33203125" style="4" customWidth="1"/>
    <col min="523" max="523" width="11" style="4" customWidth="1"/>
    <col min="524" max="768" width="9.109375" style="4"/>
    <col min="769" max="769" width="7.109375" style="4" customWidth="1"/>
    <col min="770" max="770" width="29.109375" style="4" customWidth="1"/>
    <col min="771" max="771" width="8.6640625" style="4" customWidth="1"/>
    <col min="772" max="772" width="11.88671875" style="4" customWidth="1"/>
    <col min="773" max="773" width="10.109375" style="4" customWidth="1"/>
    <col min="774" max="774" width="12" style="4" customWidth="1"/>
    <col min="775" max="777" width="9.109375" style="4"/>
    <col min="778" max="778" width="11.33203125" style="4" customWidth="1"/>
    <col min="779" max="779" width="11" style="4" customWidth="1"/>
    <col min="780" max="1024" width="9.109375" style="4"/>
    <col min="1025" max="1025" width="7.109375" style="4" customWidth="1"/>
    <col min="1026" max="1026" width="29.109375" style="4" customWidth="1"/>
    <col min="1027" max="1027" width="8.6640625" style="4" customWidth="1"/>
    <col min="1028" max="1028" width="11.88671875" style="4" customWidth="1"/>
    <col min="1029" max="1029" width="10.109375" style="4" customWidth="1"/>
    <col min="1030" max="1030" width="12" style="4" customWidth="1"/>
    <col min="1031" max="1033" width="9.109375" style="4"/>
    <col min="1034" max="1034" width="11.33203125" style="4" customWidth="1"/>
    <col min="1035" max="1035" width="11" style="4" customWidth="1"/>
    <col min="1036" max="1280" width="9.109375" style="4"/>
    <col min="1281" max="1281" width="7.109375" style="4" customWidth="1"/>
    <col min="1282" max="1282" width="29.109375" style="4" customWidth="1"/>
    <col min="1283" max="1283" width="8.6640625" style="4" customWidth="1"/>
    <col min="1284" max="1284" width="11.88671875" style="4" customWidth="1"/>
    <col min="1285" max="1285" width="10.109375" style="4" customWidth="1"/>
    <col min="1286" max="1286" width="12" style="4" customWidth="1"/>
    <col min="1287" max="1289" width="9.109375" style="4"/>
    <col min="1290" max="1290" width="11.33203125" style="4" customWidth="1"/>
    <col min="1291" max="1291" width="11" style="4" customWidth="1"/>
    <col min="1292" max="1536" width="9.109375" style="4"/>
    <col min="1537" max="1537" width="7.109375" style="4" customWidth="1"/>
    <col min="1538" max="1538" width="29.109375" style="4" customWidth="1"/>
    <col min="1539" max="1539" width="8.6640625" style="4" customWidth="1"/>
    <col min="1540" max="1540" width="11.88671875" style="4" customWidth="1"/>
    <col min="1541" max="1541" width="10.109375" style="4" customWidth="1"/>
    <col min="1542" max="1542" width="12" style="4" customWidth="1"/>
    <col min="1543" max="1545" width="9.109375" style="4"/>
    <col min="1546" max="1546" width="11.33203125" style="4" customWidth="1"/>
    <col min="1547" max="1547" width="11" style="4" customWidth="1"/>
    <col min="1548" max="1792" width="9.109375" style="4"/>
    <col min="1793" max="1793" width="7.109375" style="4" customWidth="1"/>
    <col min="1794" max="1794" width="29.109375" style="4" customWidth="1"/>
    <col min="1795" max="1795" width="8.6640625" style="4" customWidth="1"/>
    <col min="1796" max="1796" width="11.88671875" style="4" customWidth="1"/>
    <col min="1797" max="1797" width="10.109375" style="4" customWidth="1"/>
    <col min="1798" max="1798" width="12" style="4" customWidth="1"/>
    <col min="1799" max="1801" width="9.109375" style="4"/>
    <col min="1802" max="1802" width="11.33203125" style="4" customWidth="1"/>
    <col min="1803" max="1803" width="11" style="4" customWidth="1"/>
    <col min="1804" max="2048" width="9.109375" style="4"/>
    <col min="2049" max="2049" width="7.109375" style="4" customWidth="1"/>
    <col min="2050" max="2050" width="29.109375" style="4" customWidth="1"/>
    <col min="2051" max="2051" width="8.6640625" style="4" customWidth="1"/>
    <col min="2052" max="2052" width="11.88671875" style="4" customWidth="1"/>
    <col min="2053" max="2053" width="10.109375" style="4" customWidth="1"/>
    <col min="2054" max="2054" width="12" style="4" customWidth="1"/>
    <col min="2055" max="2057" width="9.109375" style="4"/>
    <col min="2058" max="2058" width="11.33203125" style="4" customWidth="1"/>
    <col min="2059" max="2059" width="11" style="4" customWidth="1"/>
    <col min="2060" max="2304" width="9.109375" style="4"/>
    <col min="2305" max="2305" width="7.109375" style="4" customWidth="1"/>
    <col min="2306" max="2306" width="29.109375" style="4" customWidth="1"/>
    <col min="2307" max="2307" width="8.6640625" style="4" customWidth="1"/>
    <col min="2308" max="2308" width="11.88671875" style="4" customWidth="1"/>
    <col min="2309" max="2309" width="10.109375" style="4" customWidth="1"/>
    <col min="2310" max="2310" width="12" style="4" customWidth="1"/>
    <col min="2311" max="2313" width="9.109375" style="4"/>
    <col min="2314" max="2314" width="11.33203125" style="4" customWidth="1"/>
    <col min="2315" max="2315" width="11" style="4" customWidth="1"/>
    <col min="2316" max="2560" width="9.109375" style="4"/>
    <col min="2561" max="2561" width="7.109375" style="4" customWidth="1"/>
    <col min="2562" max="2562" width="29.109375" style="4" customWidth="1"/>
    <col min="2563" max="2563" width="8.6640625" style="4" customWidth="1"/>
    <col min="2564" max="2564" width="11.88671875" style="4" customWidth="1"/>
    <col min="2565" max="2565" width="10.109375" style="4" customWidth="1"/>
    <col min="2566" max="2566" width="12" style="4" customWidth="1"/>
    <col min="2567" max="2569" width="9.109375" style="4"/>
    <col min="2570" max="2570" width="11.33203125" style="4" customWidth="1"/>
    <col min="2571" max="2571" width="11" style="4" customWidth="1"/>
    <col min="2572" max="2816" width="9.109375" style="4"/>
    <col min="2817" max="2817" width="7.109375" style="4" customWidth="1"/>
    <col min="2818" max="2818" width="29.109375" style="4" customWidth="1"/>
    <col min="2819" max="2819" width="8.6640625" style="4" customWidth="1"/>
    <col min="2820" max="2820" width="11.88671875" style="4" customWidth="1"/>
    <col min="2821" max="2821" width="10.109375" style="4" customWidth="1"/>
    <col min="2822" max="2822" width="12" style="4" customWidth="1"/>
    <col min="2823" max="2825" width="9.109375" style="4"/>
    <col min="2826" max="2826" width="11.33203125" style="4" customWidth="1"/>
    <col min="2827" max="2827" width="11" style="4" customWidth="1"/>
    <col min="2828" max="3072" width="9.109375" style="4"/>
    <col min="3073" max="3073" width="7.109375" style="4" customWidth="1"/>
    <col min="3074" max="3074" width="29.109375" style="4" customWidth="1"/>
    <col min="3075" max="3075" width="8.6640625" style="4" customWidth="1"/>
    <col min="3076" max="3076" width="11.88671875" style="4" customWidth="1"/>
    <col min="3077" max="3077" width="10.109375" style="4" customWidth="1"/>
    <col min="3078" max="3078" width="12" style="4" customWidth="1"/>
    <col min="3079" max="3081" width="9.109375" style="4"/>
    <col min="3082" max="3082" width="11.33203125" style="4" customWidth="1"/>
    <col min="3083" max="3083" width="11" style="4" customWidth="1"/>
    <col min="3084" max="3328" width="9.109375" style="4"/>
    <col min="3329" max="3329" width="7.109375" style="4" customWidth="1"/>
    <col min="3330" max="3330" width="29.109375" style="4" customWidth="1"/>
    <col min="3331" max="3331" width="8.6640625" style="4" customWidth="1"/>
    <col min="3332" max="3332" width="11.88671875" style="4" customWidth="1"/>
    <col min="3333" max="3333" width="10.109375" style="4" customWidth="1"/>
    <col min="3334" max="3334" width="12" style="4" customWidth="1"/>
    <col min="3335" max="3337" width="9.109375" style="4"/>
    <col min="3338" max="3338" width="11.33203125" style="4" customWidth="1"/>
    <col min="3339" max="3339" width="11" style="4" customWidth="1"/>
    <col min="3340" max="3584" width="9.109375" style="4"/>
    <col min="3585" max="3585" width="7.109375" style="4" customWidth="1"/>
    <col min="3586" max="3586" width="29.109375" style="4" customWidth="1"/>
    <col min="3587" max="3587" width="8.6640625" style="4" customWidth="1"/>
    <col min="3588" max="3588" width="11.88671875" style="4" customWidth="1"/>
    <col min="3589" max="3589" width="10.109375" style="4" customWidth="1"/>
    <col min="3590" max="3590" width="12" style="4" customWidth="1"/>
    <col min="3591" max="3593" width="9.109375" style="4"/>
    <col min="3594" max="3594" width="11.33203125" style="4" customWidth="1"/>
    <col min="3595" max="3595" width="11" style="4" customWidth="1"/>
    <col min="3596" max="3840" width="9.109375" style="4"/>
    <col min="3841" max="3841" width="7.109375" style="4" customWidth="1"/>
    <col min="3842" max="3842" width="29.109375" style="4" customWidth="1"/>
    <col min="3843" max="3843" width="8.6640625" style="4" customWidth="1"/>
    <col min="3844" max="3844" width="11.88671875" style="4" customWidth="1"/>
    <col min="3845" max="3845" width="10.109375" style="4" customWidth="1"/>
    <col min="3846" max="3846" width="12" style="4" customWidth="1"/>
    <col min="3847" max="3849" width="9.109375" style="4"/>
    <col min="3850" max="3850" width="11.33203125" style="4" customWidth="1"/>
    <col min="3851" max="3851" width="11" style="4" customWidth="1"/>
    <col min="3852" max="4096" width="9.109375" style="4"/>
    <col min="4097" max="4097" width="7.109375" style="4" customWidth="1"/>
    <col min="4098" max="4098" width="29.109375" style="4" customWidth="1"/>
    <col min="4099" max="4099" width="8.6640625" style="4" customWidth="1"/>
    <col min="4100" max="4100" width="11.88671875" style="4" customWidth="1"/>
    <col min="4101" max="4101" width="10.109375" style="4" customWidth="1"/>
    <col min="4102" max="4102" width="12" style="4" customWidth="1"/>
    <col min="4103" max="4105" width="9.109375" style="4"/>
    <col min="4106" max="4106" width="11.33203125" style="4" customWidth="1"/>
    <col min="4107" max="4107" width="11" style="4" customWidth="1"/>
    <col min="4108" max="4352" width="9.109375" style="4"/>
    <col min="4353" max="4353" width="7.109375" style="4" customWidth="1"/>
    <col min="4354" max="4354" width="29.109375" style="4" customWidth="1"/>
    <col min="4355" max="4355" width="8.6640625" style="4" customWidth="1"/>
    <col min="4356" max="4356" width="11.88671875" style="4" customWidth="1"/>
    <col min="4357" max="4357" width="10.109375" style="4" customWidth="1"/>
    <col min="4358" max="4358" width="12" style="4" customWidth="1"/>
    <col min="4359" max="4361" width="9.109375" style="4"/>
    <col min="4362" max="4362" width="11.33203125" style="4" customWidth="1"/>
    <col min="4363" max="4363" width="11" style="4" customWidth="1"/>
    <col min="4364" max="4608" width="9.109375" style="4"/>
    <col min="4609" max="4609" width="7.109375" style="4" customWidth="1"/>
    <col min="4610" max="4610" width="29.109375" style="4" customWidth="1"/>
    <col min="4611" max="4611" width="8.6640625" style="4" customWidth="1"/>
    <col min="4612" max="4612" width="11.88671875" style="4" customWidth="1"/>
    <col min="4613" max="4613" width="10.109375" style="4" customWidth="1"/>
    <col min="4614" max="4614" width="12" style="4" customWidth="1"/>
    <col min="4615" max="4617" width="9.109375" style="4"/>
    <col min="4618" max="4618" width="11.33203125" style="4" customWidth="1"/>
    <col min="4619" max="4619" width="11" style="4" customWidth="1"/>
    <col min="4620" max="4864" width="9.109375" style="4"/>
    <col min="4865" max="4865" width="7.109375" style="4" customWidth="1"/>
    <col min="4866" max="4866" width="29.109375" style="4" customWidth="1"/>
    <col min="4867" max="4867" width="8.6640625" style="4" customWidth="1"/>
    <col min="4868" max="4868" width="11.88671875" style="4" customWidth="1"/>
    <col min="4869" max="4869" width="10.109375" style="4" customWidth="1"/>
    <col min="4870" max="4870" width="12" style="4" customWidth="1"/>
    <col min="4871" max="4873" width="9.109375" style="4"/>
    <col min="4874" max="4874" width="11.33203125" style="4" customWidth="1"/>
    <col min="4875" max="4875" width="11" style="4" customWidth="1"/>
    <col min="4876" max="5120" width="9.109375" style="4"/>
    <col min="5121" max="5121" width="7.109375" style="4" customWidth="1"/>
    <col min="5122" max="5122" width="29.109375" style="4" customWidth="1"/>
    <col min="5123" max="5123" width="8.6640625" style="4" customWidth="1"/>
    <col min="5124" max="5124" width="11.88671875" style="4" customWidth="1"/>
    <col min="5125" max="5125" width="10.109375" style="4" customWidth="1"/>
    <col min="5126" max="5126" width="12" style="4" customWidth="1"/>
    <col min="5127" max="5129" width="9.109375" style="4"/>
    <col min="5130" max="5130" width="11.33203125" style="4" customWidth="1"/>
    <col min="5131" max="5131" width="11" style="4" customWidth="1"/>
    <col min="5132" max="5376" width="9.109375" style="4"/>
    <col min="5377" max="5377" width="7.109375" style="4" customWidth="1"/>
    <col min="5378" max="5378" width="29.109375" style="4" customWidth="1"/>
    <col min="5379" max="5379" width="8.6640625" style="4" customWidth="1"/>
    <col min="5380" max="5380" width="11.88671875" style="4" customWidth="1"/>
    <col min="5381" max="5381" width="10.109375" style="4" customWidth="1"/>
    <col min="5382" max="5382" width="12" style="4" customWidth="1"/>
    <col min="5383" max="5385" width="9.109375" style="4"/>
    <col min="5386" max="5386" width="11.33203125" style="4" customWidth="1"/>
    <col min="5387" max="5387" width="11" style="4" customWidth="1"/>
    <col min="5388" max="5632" width="9.109375" style="4"/>
    <col min="5633" max="5633" width="7.109375" style="4" customWidth="1"/>
    <col min="5634" max="5634" width="29.109375" style="4" customWidth="1"/>
    <col min="5635" max="5635" width="8.6640625" style="4" customWidth="1"/>
    <col min="5636" max="5636" width="11.88671875" style="4" customWidth="1"/>
    <col min="5637" max="5637" width="10.109375" style="4" customWidth="1"/>
    <col min="5638" max="5638" width="12" style="4" customWidth="1"/>
    <col min="5639" max="5641" width="9.109375" style="4"/>
    <col min="5642" max="5642" width="11.33203125" style="4" customWidth="1"/>
    <col min="5643" max="5643" width="11" style="4" customWidth="1"/>
    <col min="5644" max="5888" width="9.109375" style="4"/>
    <col min="5889" max="5889" width="7.109375" style="4" customWidth="1"/>
    <col min="5890" max="5890" width="29.109375" style="4" customWidth="1"/>
    <col min="5891" max="5891" width="8.6640625" style="4" customWidth="1"/>
    <col min="5892" max="5892" width="11.88671875" style="4" customWidth="1"/>
    <col min="5893" max="5893" width="10.109375" style="4" customWidth="1"/>
    <col min="5894" max="5894" width="12" style="4" customWidth="1"/>
    <col min="5895" max="5897" width="9.109375" style="4"/>
    <col min="5898" max="5898" width="11.33203125" style="4" customWidth="1"/>
    <col min="5899" max="5899" width="11" style="4" customWidth="1"/>
    <col min="5900" max="6144" width="9.109375" style="4"/>
    <col min="6145" max="6145" width="7.109375" style="4" customWidth="1"/>
    <col min="6146" max="6146" width="29.109375" style="4" customWidth="1"/>
    <col min="6147" max="6147" width="8.6640625" style="4" customWidth="1"/>
    <col min="6148" max="6148" width="11.88671875" style="4" customWidth="1"/>
    <col min="6149" max="6149" width="10.109375" style="4" customWidth="1"/>
    <col min="6150" max="6150" width="12" style="4" customWidth="1"/>
    <col min="6151" max="6153" width="9.109375" style="4"/>
    <col min="6154" max="6154" width="11.33203125" style="4" customWidth="1"/>
    <col min="6155" max="6155" width="11" style="4" customWidth="1"/>
    <col min="6156" max="6400" width="9.109375" style="4"/>
    <col min="6401" max="6401" width="7.109375" style="4" customWidth="1"/>
    <col min="6402" max="6402" width="29.109375" style="4" customWidth="1"/>
    <col min="6403" max="6403" width="8.6640625" style="4" customWidth="1"/>
    <col min="6404" max="6404" width="11.88671875" style="4" customWidth="1"/>
    <col min="6405" max="6405" width="10.109375" style="4" customWidth="1"/>
    <col min="6406" max="6406" width="12" style="4" customWidth="1"/>
    <col min="6407" max="6409" width="9.109375" style="4"/>
    <col min="6410" max="6410" width="11.33203125" style="4" customWidth="1"/>
    <col min="6411" max="6411" width="11" style="4" customWidth="1"/>
    <col min="6412" max="6656" width="9.109375" style="4"/>
    <col min="6657" max="6657" width="7.109375" style="4" customWidth="1"/>
    <col min="6658" max="6658" width="29.109375" style="4" customWidth="1"/>
    <col min="6659" max="6659" width="8.6640625" style="4" customWidth="1"/>
    <col min="6660" max="6660" width="11.88671875" style="4" customWidth="1"/>
    <col min="6661" max="6661" width="10.109375" style="4" customWidth="1"/>
    <col min="6662" max="6662" width="12" style="4" customWidth="1"/>
    <col min="6663" max="6665" width="9.109375" style="4"/>
    <col min="6666" max="6666" width="11.33203125" style="4" customWidth="1"/>
    <col min="6667" max="6667" width="11" style="4" customWidth="1"/>
    <col min="6668" max="6912" width="9.109375" style="4"/>
    <col min="6913" max="6913" width="7.109375" style="4" customWidth="1"/>
    <col min="6914" max="6914" width="29.109375" style="4" customWidth="1"/>
    <col min="6915" max="6915" width="8.6640625" style="4" customWidth="1"/>
    <col min="6916" max="6916" width="11.88671875" style="4" customWidth="1"/>
    <col min="6917" max="6917" width="10.109375" style="4" customWidth="1"/>
    <col min="6918" max="6918" width="12" style="4" customWidth="1"/>
    <col min="6919" max="6921" width="9.109375" style="4"/>
    <col min="6922" max="6922" width="11.33203125" style="4" customWidth="1"/>
    <col min="6923" max="6923" width="11" style="4" customWidth="1"/>
    <col min="6924" max="7168" width="9.109375" style="4"/>
    <col min="7169" max="7169" width="7.109375" style="4" customWidth="1"/>
    <col min="7170" max="7170" width="29.109375" style="4" customWidth="1"/>
    <col min="7171" max="7171" width="8.6640625" style="4" customWidth="1"/>
    <col min="7172" max="7172" width="11.88671875" style="4" customWidth="1"/>
    <col min="7173" max="7173" width="10.109375" style="4" customWidth="1"/>
    <col min="7174" max="7174" width="12" style="4" customWidth="1"/>
    <col min="7175" max="7177" width="9.109375" style="4"/>
    <col min="7178" max="7178" width="11.33203125" style="4" customWidth="1"/>
    <col min="7179" max="7179" width="11" style="4" customWidth="1"/>
    <col min="7180" max="7424" width="9.109375" style="4"/>
    <col min="7425" max="7425" width="7.109375" style="4" customWidth="1"/>
    <col min="7426" max="7426" width="29.109375" style="4" customWidth="1"/>
    <col min="7427" max="7427" width="8.6640625" style="4" customWidth="1"/>
    <col min="7428" max="7428" width="11.88671875" style="4" customWidth="1"/>
    <col min="7429" max="7429" width="10.109375" style="4" customWidth="1"/>
    <col min="7430" max="7430" width="12" style="4" customWidth="1"/>
    <col min="7431" max="7433" width="9.109375" style="4"/>
    <col min="7434" max="7434" width="11.33203125" style="4" customWidth="1"/>
    <col min="7435" max="7435" width="11" style="4" customWidth="1"/>
    <col min="7436" max="7680" width="9.109375" style="4"/>
    <col min="7681" max="7681" width="7.109375" style="4" customWidth="1"/>
    <col min="7682" max="7682" width="29.109375" style="4" customWidth="1"/>
    <col min="7683" max="7683" width="8.6640625" style="4" customWidth="1"/>
    <col min="7684" max="7684" width="11.88671875" style="4" customWidth="1"/>
    <col min="7685" max="7685" width="10.109375" style="4" customWidth="1"/>
    <col min="7686" max="7686" width="12" style="4" customWidth="1"/>
    <col min="7687" max="7689" width="9.109375" style="4"/>
    <col min="7690" max="7690" width="11.33203125" style="4" customWidth="1"/>
    <col min="7691" max="7691" width="11" style="4" customWidth="1"/>
    <col min="7692" max="7936" width="9.109375" style="4"/>
    <col min="7937" max="7937" width="7.109375" style="4" customWidth="1"/>
    <col min="7938" max="7938" width="29.109375" style="4" customWidth="1"/>
    <col min="7939" max="7939" width="8.6640625" style="4" customWidth="1"/>
    <col min="7940" max="7940" width="11.88671875" style="4" customWidth="1"/>
    <col min="7941" max="7941" width="10.109375" style="4" customWidth="1"/>
    <col min="7942" max="7942" width="12" style="4" customWidth="1"/>
    <col min="7943" max="7945" width="9.109375" style="4"/>
    <col min="7946" max="7946" width="11.33203125" style="4" customWidth="1"/>
    <col min="7947" max="7947" width="11" style="4" customWidth="1"/>
    <col min="7948" max="8192" width="9.109375" style="4"/>
    <col min="8193" max="8193" width="7.109375" style="4" customWidth="1"/>
    <col min="8194" max="8194" width="29.109375" style="4" customWidth="1"/>
    <col min="8195" max="8195" width="8.6640625" style="4" customWidth="1"/>
    <col min="8196" max="8196" width="11.88671875" style="4" customWidth="1"/>
    <col min="8197" max="8197" width="10.109375" style="4" customWidth="1"/>
    <col min="8198" max="8198" width="12" style="4" customWidth="1"/>
    <col min="8199" max="8201" width="9.109375" style="4"/>
    <col min="8202" max="8202" width="11.33203125" style="4" customWidth="1"/>
    <col min="8203" max="8203" width="11" style="4" customWidth="1"/>
    <col min="8204" max="8448" width="9.109375" style="4"/>
    <col min="8449" max="8449" width="7.109375" style="4" customWidth="1"/>
    <col min="8450" max="8450" width="29.109375" style="4" customWidth="1"/>
    <col min="8451" max="8451" width="8.6640625" style="4" customWidth="1"/>
    <col min="8452" max="8452" width="11.88671875" style="4" customWidth="1"/>
    <col min="8453" max="8453" width="10.109375" style="4" customWidth="1"/>
    <col min="8454" max="8454" width="12" style="4" customWidth="1"/>
    <col min="8455" max="8457" width="9.109375" style="4"/>
    <col min="8458" max="8458" width="11.33203125" style="4" customWidth="1"/>
    <col min="8459" max="8459" width="11" style="4" customWidth="1"/>
    <col min="8460" max="8704" width="9.109375" style="4"/>
    <col min="8705" max="8705" width="7.109375" style="4" customWidth="1"/>
    <col min="8706" max="8706" width="29.109375" style="4" customWidth="1"/>
    <col min="8707" max="8707" width="8.6640625" style="4" customWidth="1"/>
    <col min="8708" max="8708" width="11.88671875" style="4" customWidth="1"/>
    <col min="8709" max="8709" width="10.109375" style="4" customWidth="1"/>
    <col min="8710" max="8710" width="12" style="4" customWidth="1"/>
    <col min="8711" max="8713" width="9.109375" style="4"/>
    <col min="8714" max="8714" width="11.33203125" style="4" customWidth="1"/>
    <col min="8715" max="8715" width="11" style="4" customWidth="1"/>
    <col min="8716" max="8960" width="9.109375" style="4"/>
    <col min="8961" max="8961" width="7.109375" style="4" customWidth="1"/>
    <col min="8962" max="8962" width="29.109375" style="4" customWidth="1"/>
    <col min="8963" max="8963" width="8.6640625" style="4" customWidth="1"/>
    <col min="8964" max="8964" width="11.88671875" style="4" customWidth="1"/>
    <col min="8965" max="8965" width="10.109375" style="4" customWidth="1"/>
    <col min="8966" max="8966" width="12" style="4" customWidth="1"/>
    <col min="8967" max="8969" width="9.109375" style="4"/>
    <col min="8970" max="8970" width="11.33203125" style="4" customWidth="1"/>
    <col min="8971" max="8971" width="11" style="4" customWidth="1"/>
    <col min="8972" max="9216" width="9.109375" style="4"/>
    <col min="9217" max="9217" width="7.109375" style="4" customWidth="1"/>
    <col min="9218" max="9218" width="29.109375" style="4" customWidth="1"/>
    <col min="9219" max="9219" width="8.6640625" style="4" customWidth="1"/>
    <col min="9220" max="9220" width="11.88671875" style="4" customWidth="1"/>
    <col min="9221" max="9221" width="10.109375" style="4" customWidth="1"/>
    <col min="9222" max="9222" width="12" style="4" customWidth="1"/>
    <col min="9223" max="9225" width="9.109375" style="4"/>
    <col min="9226" max="9226" width="11.33203125" style="4" customWidth="1"/>
    <col min="9227" max="9227" width="11" style="4" customWidth="1"/>
    <col min="9228" max="9472" width="9.109375" style="4"/>
    <col min="9473" max="9473" width="7.109375" style="4" customWidth="1"/>
    <col min="9474" max="9474" width="29.109375" style="4" customWidth="1"/>
    <col min="9475" max="9475" width="8.6640625" style="4" customWidth="1"/>
    <col min="9476" max="9476" width="11.88671875" style="4" customWidth="1"/>
    <col min="9477" max="9477" width="10.109375" style="4" customWidth="1"/>
    <col min="9478" max="9478" width="12" style="4" customWidth="1"/>
    <col min="9479" max="9481" width="9.109375" style="4"/>
    <col min="9482" max="9482" width="11.33203125" style="4" customWidth="1"/>
    <col min="9483" max="9483" width="11" style="4" customWidth="1"/>
    <col min="9484" max="9728" width="9.109375" style="4"/>
    <col min="9729" max="9729" width="7.109375" style="4" customWidth="1"/>
    <col min="9730" max="9730" width="29.109375" style="4" customWidth="1"/>
    <col min="9731" max="9731" width="8.6640625" style="4" customWidth="1"/>
    <col min="9732" max="9732" width="11.88671875" style="4" customWidth="1"/>
    <col min="9733" max="9733" width="10.109375" style="4" customWidth="1"/>
    <col min="9734" max="9734" width="12" style="4" customWidth="1"/>
    <col min="9735" max="9737" width="9.109375" style="4"/>
    <col min="9738" max="9738" width="11.33203125" style="4" customWidth="1"/>
    <col min="9739" max="9739" width="11" style="4" customWidth="1"/>
    <col min="9740" max="9984" width="9.109375" style="4"/>
    <col min="9985" max="9985" width="7.109375" style="4" customWidth="1"/>
    <col min="9986" max="9986" width="29.109375" style="4" customWidth="1"/>
    <col min="9987" max="9987" width="8.6640625" style="4" customWidth="1"/>
    <col min="9988" max="9988" width="11.88671875" style="4" customWidth="1"/>
    <col min="9989" max="9989" width="10.109375" style="4" customWidth="1"/>
    <col min="9990" max="9990" width="12" style="4" customWidth="1"/>
    <col min="9991" max="9993" width="9.109375" style="4"/>
    <col min="9994" max="9994" width="11.33203125" style="4" customWidth="1"/>
    <col min="9995" max="9995" width="11" style="4" customWidth="1"/>
    <col min="9996" max="10240" width="9.109375" style="4"/>
    <col min="10241" max="10241" width="7.109375" style="4" customWidth="1"/>
    <col min="10242" max="10242" width="29.109375" style="4" customWidth="1"/>
    <col min="10243" max="10243" width="8.6640625" style="4" customWidth="1"/>
    <col min="10244" max="10244" width="11.88671875" style="4" customWidth="1"/>
    <col min="10245" max="10245" width="10.109375" style="4" customWidth="1"/>
    <col min="10246" max="10246" width="12" style="4" customWidth="1"/>
    <col min="10247" max="10249" width="9.109375" style="4"/>
    <col min="10250" max="10250" width="11.33203125" style="4" customWidth="1"/>
    <col min="10251" max="10251" width="11" style="4" customWidth="1"/>
    <col min="10252" max="10496" width="9.109375" style="4"/>
    <col min="10497" max="10497" width="7.109375" style="4" customWidth="1"/>
    <col min="10498" max="10498" width="29.109375" style="4" customWidth="1"/>
    <col min="10499" max="10499" width="8.6640625" style="4" customWidth="1"/>
    <col min="10500" max="10500" width="11.88671875" style="4" customWidth="1"/>
    <col min="10501" max="10501" width="10.109375" style="4" customWidth="1"/>
    <col min="10502" max="10502" width="12" style="4" customWidth="1"/>
    <col min="10503" max="10505" width="9.109375" style="4"/>
    <col min="10506" max="10506" width="11.33203125" style="4" customWidth="1"/>
    <col min="10507" max="10507" width="11" style="4" customWidth="1"/>
    <col min="10508" max="10752" width="9.109375" style="4"/>
    <col min="10753" max="10753" width="7.109375" style="4" customWidth="1"/>
    <col min="10754" max="10754" width="29.109375" style="4" customWidth="1"/>
    <col min="10755" max="10755" width="8.6640625" style="4" customWidth="1"/>
    <col min="10756" max="10756" width="11.88671875" style="4" customWidth="1"/>
    <col min="10757" max="10757" width="10.109375" style="4" customWidth="1"/>
    <col min="10758" max="10758" width="12" style="4" customWidth="1"/>
    <col min="10759" max="10761" width="9.109375" style="4"/>
    <col min="10762" max="10762" width="11.33203125" style="4" customWidth="1"/>
    <col min="10763" max="10763" width="11" style="4" customWidth="1"/>
    <col min="10764" max="11008" width="9.109375" style="4"/>
    <col min="11009" max="11009" width="7.109375" style="4" customWidth="1"/>
    <col min="11010" max="11010" width="29.109375" style="4" customWidth="1"/>
    <col min="11011" max="11011" width="8.6640625" style="4" customWidth="1"/>
    <col min="11012" max="11012" width="11.88671875" style="4" customWidth="1"/>
    <col min="11013" max="11013" width="10.109375" style="4" customWidth="1"/>
    <col min="11014" max="11014" width="12" style="4" customWidth="1"/>
    <col min="11015" max="11017" width="9.109375" style="4"/>
    <col min="11018" max="11018" width="11.33203125" style="4" customWidth="1"/>
    <col min="11019" max="11019" width="11" style="4" customWidth="1"/>
    <col min="11020" max="11264" width="9.109375" style="4"/>
    <col min="11265" max="11265" width="7.109375" style="4" customWidth="1"/>
    <col min="11266" max="11266" width="29.109375" style="4" customWidth="1"/>
    <col min="11267" max="11267" width="8.6640625" style="4" customWidth="1"/>
    <col min="11268" max="11268" width="11.88671875" style="4" customWidth="1"/>
    <col min="11269" max="11269" width="10.109375" style="4" customWidth="1"/>
    <col min="11270" max="11270" width="12" style="4" customWidth="1"/>
    <col min="11271" max="11273" width="9.109375" style="4"/>
    <col min="11274" max="11274" width="11.33203125" style="4" customWidth="1"/>
    <col min="11275" max="11275" width="11" style="4" customWidth="1"/>
    <col min="11276" max="11520" width="9.109375" style="4"/>
    <col min="11521" max="11521" width="7.109375" style="4" customWidth="1"/>
    <col min="11522" max="11522" width="29.109375" style="4" customWidth="1"/>
    <col min="11523" max="11523" width="8.6640625" style="4" customWidth="1"/>
    <col min="11524" max="11524" width="11.88671875" style="4" customWidth="1"/>
    <col min="11525" max="11525" width="10.109375" style="4" customWidth="1"/>
    <col min="11526" max="11526" width="12" style="4" customWidth="1"/>
    <col min="11527" max="11529" width="9.109375" style="4"/>
    <col min="11530" max="11530" width="11.33203125" style="4" customWidth="1"/>
    <col min="11531" max="11531" width="11" style="4" customWidth="1"/>
    <col min="11532" max="11776" width="9.109375" style="4"/>
    <col min="11777" max="11777" width="7.109375" style="4" customWidth="1"/>
    <col min="11778" max="11778" width="29.109375" style="4" customWidth="1"/>
    <col min="11779" max="11779" width="8.6640625" style="4" customWidth="1"/>
    <col min="11780" max="11780" width="11.88671875" style="4" customWidth="1"/>
    <col min="11781" max="11781" width="10.109375" style="4" customWidth="1"/>
    <col min="11782" max="11782" width="12" style="4" customWidth="1"/>
    <col min="11783" max="11785" width="9.109375" style="4"/>
    <col min="11786" max="11786" width="11.33203125" style="4" customWidth="1"/>
    <col min="11787" max="11787" width="11" style="4" customWidth="1"/>
    <col min="11788" max="12032" width="9.109375" style="4"/>
    <col min="12033" max="12033" width="7.109375" style="4" customWidth="1"/>
    <col min="12034" max="12034" width="29.109375" style="4" customWidth="1"/>
    <col min="12035" max="12035" width="8.6640625" style="4" customWidth="1"/>
    <col min="12036" max="12036" width="11.88671875" style="4" customWidth="1"/>
    <col min="12037" max="12037" width="10.109375" style="4" customWidth="1"/>
    <col min="12038" max="12038" width="12" style="4" customWidth="1"/>
    <col min="12039" max="12041" width="9.109375" style="4"/>
    <col min="12042" max="12042" width="11.33203125" style="4" customWidth="1"/>
    <col min="12043" max="12043" width="11" style="4" customWidth="1"/>
    <col min="12044" max="12288" width="9.109375" style="4"/>
    <col min="12289" max="12289" width="7.109375" style="4" customWidth="1"/>
    <col min="12290" max="12290" width="29.109375" style="4" customWidth="1"/>
    <col min="12291" max="12291" width="8.6640625" style="4" customWidth="1"/>
    <col min="12292" max="12292" width="11.88671875" style="4" customWidth="1"/>
    <col min="12293" max="12293" width="10.109375" style="4" customWidth="1"/>
    <col min="12294" max="12294" width="12" style="4" customWidth="1"/>
    <col min="12295" max="12297" width="9.109375" style="4"/>
    <col min="12298" max="12298" width="11.33203125" style="4" customWidth="1"/>
    <col min="12299" max="12299" width="11" style="4" customWidth="1"/>
    <col min="12300" max="12544" width="9.109375" style="4"/>
    <col min="12545" max="12545" width="7.109375" style="4" customWidth="1"/>
    <col min="12546" max="12546" width="29.109375" style="4" customWidth="1"/>
    <col min="12547" max="12547" width="8.6640625" style="4" customWidth="1"/>
    <col min="12548" max="12548" width="11.88671875" style="4" customWidth="1"/>
    <col min="12549" max="12549" width="10.109375" style="4" customWidth="1"/>
    <col min="12550" max="12550" width="12" style="4" customWidth="1"/>
    <col min="12551" max="12553" width="9.109375" style="4"/>
    <col min="12554" max="12554" width="11.33203125" style="4" customWidth="1"/>
    <col min="12555" max="12555" width="11" style="4" customWidth="1"/>
    <col min="12556" max="12800" width="9.109375" style="4"/>
    <col min="12801" max="12801" width="7.109375" style="4" customWidth="1"/>
    <col min="12802" max="12802" width="29.109375" style="4" customWidth="1"/>
    <col min="12803" max="12803" width="8.6640625" style="4" customWidth="1"/>
    <col min="12804" max="12804" width="11.88671875" style="4" customWidth="1"/>
    <col min="12805" max="12805" width="10.109375" style="4" customWidth="1"/>
    <col min="12806" max="12806" width="12" style="4" customWidth="1"/>
    <col min="12807" max="12809" width="9.109375" style="4"/>
    <col min="12810" max="12810" width="11.33203125" style="4" customWidth="1"/>
    <col min="12811" max="12811" width="11" style="4" customWidth="1"/>
    <col min="12812" max="13056" width="9.109375" style="4"/>
    <col min="13057" max="13057" width="7.109375" style="4" customWidth="1"/>
    <col min="13058" max="13058" width="29.109375" style="4" customWidth="1"/>
    <col min="13059" max="13059" width="8.6640625" style="4" customWidth="1"/>
    <col min="13060" max="13060" width="11.88671875" style="4" customWidth="1"/>
    <col min="13061" max="13061" width="10.109375" style="4" customWidth="1"/>
    <col min="13062" max="13062" width="12" style="4" customWidth="1"/>
    <col min="13063" max="13065" width="9.109375" style="4"/>
    <col min="13066" max="13066" width="11.33203125" style="4" customWidth="1"/>
    <col min="13067" max="13067" width="11" style="4" customWidth="1"/>
    <col min="13068" max="13312" width="9.109375" style="4"/>
    <col min="13313" max="13313" width="7.109375" style="4" customWidth="1"/>
    <col min="13314" max="13314" width="29.109375" style="4" customWidth="1"/>
    <col min="13315" max="13315" width="8.6640625" style="4" customWidth="1"/>
    <col min="13316" max="13316" width="11.88671875" style="4" customWidth="1"/>
    <col min="13317" max="13317" width="10.109375" style="4" customWidth="1"/>
    <col min="13318" max="13318" width="12" style="4" customWidth="1"/>
    <col min="13319" max="13321" width="9.109375" style="4"/>
    <col min="13322" max="13322" width="11.33203125" style="4" customWidth="1"/>
    <col min="13323" max="13323" width="11" style="4" customWidth="1"/>
    <col min="13324" max="13568" width="9.109375" style="4"/>
    <col min="13569" max="13569" width="7.109375" style="4" customWidth="1"/>
    <col min="13570" max="13570" width="29.109375" style="4" customWidth="1"/>
    <col min="13571" max="13571" width="8.6640625" style="4" customWidth="1"/>
    <col min="13572" max="13572" width="11.88671875" style="4" customWidth="1"/>
    <col min="13573" max="13573" width="10.109375" style="4" customWidth="1"/>
    <col min="13574" max="13574" width="12" style="4" customWidth="1"/>
    <col min="13575" max="13577" width="9.109375" style="4"/>
    <col min="13578" max="13578" width="11.33203125" style="4" customWidth="1"/>
    <col min="13579" max="13579" width="11" style="4" customWidth="1"/>
    <col min="13580" max="13824" width="9.109375" style="4"/>
    <col min="13825" max="13825" width="7.109375" style="4" customWidth="1"/>
    <col min="13826" max="13826" width="29.109375" style="4" customWidth="1"/>
    <col min="13827" max="13827" width="8.6640625" style="4" customWidth="1"/>
    <col min="13828" max="13828" width="11.88671875" style="4" customWidth="1"/>
    <col min="13829" max="13829" width="10.109375" style="4" customWidth="1"/>
    <col min="13830" max="13830" width="12" style="4" customWidth="1"/>
    <col min="13831" max="13833" width="9.109375" style="4"/>
    <col min="13834" max="13834" width="11.33203125" style="4" customWidth="1"/>
    <col min="13835" max="13835" width="11" style="4" customWidth="1"/>
    <col min="13836" max="14080" width="9.109375" style="4"/>
    <col min="14081" max="14081" width="7.109375" style="4" customWidth="1"/>
    <col min="14082" max="14082" width="29.109375" style="4" customWidth="1"/>
    <col min="14083" max="14083" width="8.6640625" style="4" customWidth="1"/>
    <col min="14084" max="14084" width="11.88671875" style="4" customWidth="1"/>
    <col min="14085" max="14085" width="10.109375" style="4" customWidth="1"/>
    <col min="14086" max="14086" width="12" style="4" customWidth="1"/>
    <col min="14087" max="14089" width="9.109375" style="4"/>
    <col min="14090" max="14090" width="11.33203125" style="4" customWidth="1"/>
    <col min="14091" max="14091" width="11" style="4" customWidth="1"/>
    <col min="14092" max="14336" width="9.109375" style="4"/>
    <col min="14337" max="14337" width="7.109375" style="4" customWidth="1"/>
    <col min="14338" max="14338" width="29.109375" style="4" customWidth="1"/>
    <col min="14339" max="14339" width="8.6640625" style="4" customWidth="1"/>
    <col min="14340" max="14340" width="11.88671875" style="4" customWidth="1"/>
    <col min="14341" max="14341" width="10.109375" style="4" customWidth="1"/>
    <col min="14342" max="14342" width="12" style="4" customWidth="1"/>
    <col min="14343" max="14345" width="9.109375" style="4"/>
    <col min="14346" max="14346" width="11.33203125" style="4" customWidth="1"/>
    <col min="14347" max="14347" width="11" style="4" customWidth="1"/>
    <col min="14348" max="14592" width="9.109375" style="4"/>
    <col min="14593" max="14593" width="7.109375" style="4" customWidth="1"/>
    <col min="14594" max="14594" width="29.109375" style="4" customWidth="1"/>
    <col min="14595" max="14595" width="8.6640625" style="4" customWidth="1"/>
    <col min="14596" max="14596" width="11.88671875" style="4" customWidth="1"/>
    <col min="14597" max="14597" width="10.109375" style="4" customWidth="1"/>
    <col min="14598" max="14598" width="12" style="4" customWidth="1"/>
    <col min="14599" max="14601" width="9.109375" style="4"/>
    <col min="14602" max="14602" width="11.33203125" style="4" customWidth="1"/>
    <col min="14603" max="14603" width="11" style="4" customWidth="1"/>
    <col min="14604" max="14848" width="9.109375" style="4"/>
    <col min="14849" max="14849" width="7.109375" style="4" customWidth="1"/>
    <col min="14850" max="14850" width="29.109375" style="4" customWidth="1"/>
    <col min="14851" max="14851" width="8.6640625" style="4" customWidth="1"/>
    <col min="14852" max="14852" width="11.88671875" style="4" customWidth="1"/>
    <col min="14853" max="14853" width="10.109375" style="4" customWidth="1"/>
    <col min="14854" max="14854" width="12" style="4" customWidth="1"/>
    <col min="14855" max="14857" width="9.109375" style="4"/>
    <col min="14858" max="14858" width="11.33203125" style="4" customWidth="1"/>
    <col min="14859" max="14859" width="11" style="4" customWidth="1"/>
    <col min="14860" max="15104" width="9.109375" style="4"/>
    <col min="15105" max="15105" width="7.109375" style="4" customWidth="1"/>
    <col min="15106" max="15106" width="29.109375" style="4" customWidth="1"/>
    <col min="15107" max="15107" width="8.6640625" style="4" customWidth="1"/>
    <col min="15108" max="15108" width="11.88671875" style="4" customWidth="1"/>
    <col min="15109" max="15109" width="10.109375" style="4" customWidth="1"/>
    <col min="15110" max="15110" width="12" style="4" customWidth="1"/>
    <col min="15111" max="15113" width="9.109375" style="4"/>
    <col min="15114" max="15114" width="11.33203125" style="4" customWidth="1"/>
    <col min="15115" max="15115" width="11" style="4" customWidth="1"/>
    <col min="15116" max="15360" width="9.109375" style="4"/>
    <col min="15361" max="15361" width="7.109375" style="4" customWidth="1"/>
    <col min="15362" max="15362" width="29.109375" style="4" customWidth="1"/>
    <col min="15363" max="15363" width="8.6640625" style="4" customWidth="1"/>
    <col min="15364" max="15364" width="11.88671875" style="4" customWidth="1"/>
    <col min="15365" max="15365" width="10.109375" style="4" customWidth="1"/>
    <col min="15366" max="15366" width="12" style="4" customWidth="1"/>
    <col min="15367" max="15369" width="9.109375" style="4"/>
    <col min="15370" max="15370" width="11.33203125" style="4" customWidth="1"/>
    <col min="15371" max="15371" width="11" style="4" customWidth="1"/>
    <col min="15372" max="15616" width="9.109375" style="4"/>
    <col min="15617" max="15617" width="7.109375" style="4" customWidth="1"/>
    <col min="15618" max="15618" width="29.109375" style="4" customWidth="1"/>
    <col min="15619" max="15619" width="8.6640625" style="4" customWidth="1"/>
    <col min="15620" max="15620" width="11.88671875" style="4" customWidth="1"/>
    <col min="15621" max="15621" width="10.109375" style="4" customWidth="1"/>
    <col min="15622" max="15622" width="12" style="4" customWidth="1"/>
    <col min="15623" max="15625" width="9.109375" style="4"/>
    <col min="15626" max="15626" width="11.33203125" style="4" customWidth="1"/>
    <col min="15627" max="15627" width="11" style="4" customWidth="1"/>
    <col min="15628" max="15872" width="9.109375" style="4"/>
    <col min="15873" max="15873" width="7.109375" style="4" customWidth="1"/>
    <col min="15874" max="15874" width="29.109375" style="4" customWidth="1"/>
    <col min="15875" max="15875" width="8.6640625" style="4" customWidth="1"/>
    <col min="15876" max="15876" width="11.88671875" style="4" customWidth="1"/>
    <col min="15877" max="15877" width="10.109375" style="4" customWidth="1"/>
    <col min="15878" max="15878" width="12" style="4" customWidth="1"/>
    <col min="15879" max="15881" width="9.109375" style="4"/>
    <col min="15882" max="15882" width="11.33203125" style="4" customWidth="1"/>
    <col min="15883" max="15883" width="11" style="4" customWidth="1"/>
    <col min="15884" max="16128" width="9.109375" style="4"/>
    <col min="16129" max="16129" width="7.109375" style="4" customWidth="1"/>
    <col min="16130" max="16130" width="29.109375" style="4" customWidth="1"/>
    <col min="16131" max="16131" width="8.6640625" style="4" customWidth="1"/>
    <col min="16132" max="16132" width="11.88671875" style="4" customWidth="1"/>
    <col min="16133" max="16133" width="10.109375" style="4" customWidth="1"/>
    <col min="16134" max="16134" width="12" style="4" customWidth="1"/>
    <col min="16135" max="16137" width="9.109375" style="4"/>
    <col min="16138" max="16138" width="11.33203125" style="4" customWidth="1"/>
    <col min="16139" max="16139" width="11" style="4" customWidth="1"/>
    <col min="16140" max="16384" width="9.109375" style="4"/>
  </cols>
  <sheetData>
    <row r="1" spans="1:12" x14ac:dyDescent="0.25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25">
      <c r="A2" s="3"/>
      <c r="B2" s="2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25">
      <c r="A3" s="3" t="s">
        <v>48</v>
      </c>
      <c r="B3" s="5"/>
      <c r="C3" s="3"/>
      <c r="D3" s="3"/>
      <c r="E3" s="3"/>
      <c r="F3" s="3"/>
      <c r="G3" s="3"/>
      <c r="H3" s="3"/>
      <c r="I3" s="3"/>
      <c r="J3" s="3"/>
      <c r="K3" s="3"/>
      <c r="L3" s="3"/>
    </row>
    <row r="5" spans="1:12" x14ac:dyDescent="0.25">
      <c r="A5" s="7"/>
      <c r="B5" s="8"/>
      <c r="C5" s="9" t="s">
        <v>1</v>
      </c>
      <c r="D5" s="10"/>
      <c r="E5" s="10"/>
      <c r="F5" s="11"/>
      <c r="G5" s="11"/>
      <c r="H5" s="11"/>
      <c r="I5" s="11"/>
      <c r="J5" s="11"/>
      <c r="K5" s="12"/>
      <c r="L5" s="10"/>
    </row>
    <row r="6" spans="1:12" x14ac:dyDescent="0.25">
      <c r="A6" s="13"/>
      <c r="B6" s="14"/>
      <c r="C6" s="15"/>
      <c r="D6" s="15"/>
      <c r="E6" s="16"/>
      <c r="F6" s="15" t="s">
        <v>2</v>
      </c>
      <c r="G6" s="15" t="s">
        <v>3</v>
      </c>
      <c r="H6" s="15" t="s">
        <v>4</v>
      </c>
      <c r="I6" s="15"/>
      <c r="J6" s="15"/>
      <c r="K6" s="17" t="s">
        <v>5</v>
      </c>
      <c r="L6" s="17"/>
    </row>
    <row r="7" spans="1:12" x14ac:dyDescent="0.25">
      <c r="A7" s="18" t="s">
        <v>6</v>
      </c>
      <c r="B7" s="19" t="s">
        <v>7</v>
      </c>
      <c r="C7" s="20" t="s">
        <v>8</v>
      </c>
      <c r="D7" s="20" t="s">
        <v>9</v>
      </c>
      <c r="E7" s="20" t="s">
        <v>10</v>
      </c>
      <c r="F7" s="20" t="s">
        <v>11</v>
      </c>
      <c r="G7" s="20" t="s">
        <v>12</v>
      </c>
      <c r="H7" s="20" t="s">
        <v>12</v>
      </c>
      <c r="I7" s="20" t="s">
        <v>13</v>
      </c>
      <c r="J7" s="20" t="s">
        <v>14</v>
      </c>
      <c r="K7" s="20" t="s">
        <v>15</v>
      </c>
      <c r="L7" s="20" t="s">
        <v>16</v>
      </c>
    </row>
    <row r="8" spans="1:12" s="26" customFormat="1" ht="10.199999999999999" x14ac:dyDescent="0.2">
      <c r="A8" s="21">
        <v>200</v>
      </c>
      <c r="B8" s="22" t="s">
        <v>17</v>
      </c>
      <c r="C8" s="23"/>
      <c r="D8" s="23"/>
      <c r="E8" s="23"/>
      <c r="F8" s="23"/>
      <c r="G8" s="23"/>
      <c r="H8" s="23"/>
      <c r="I8" s="23"/>
      <c r="J8" s="24">
        <v>0</v>
      </c>
      <c r="K8" s="23">
        <v>0</v>
      </c>
      <c r="L8" s="25">
        <f t="shared" ref="L8:L16" si="0">SUM(C8:K8)</f>
        <v>0</v>
      </c>
    </row>
    <row r="9" spans="1:12" s="26" customFormat="1" ht="10.199999999999999" x14ac:dyDescent="0.2">
      <c r="A9" s="21"/>
      <c r="B9" s="22" t="s">
        <v>18</v>
      </c>
      <c r="C9" s="27">
        <v>40</v>
      </c>
      <c r="D9" s="23"/>
      <c r="E9" s="23"/>
      <c r="F9" s="23"/>
      <c r="G9" s="23"/>
      <c r="H9" s="23"/>
      <c r="I9" s="23"/>
      <c r="J9" s="24"/>
      <c r="K9" s="23"/>
      <c r="L9" s="25">
        <f t="shared" si="0"/>
        <v>40</v>
      </c>
    </row>
    <row r="10" spans="1:12" s="26" customFormat="1" ht="10.199999999999999" x14ac:dyDescent="0.2">
      <c r="A10" s="21"/>
      <c r="B10" s="22" t="s">
        <v>19</v>
      </c>
      <c r="C10" s="23"/>
      <c r="D10" s="23">
        <v>24</v>
      </c>
      <c r="E10" s="23"/>
      <c r="F10" s="23"/>
      <c r="G10" s="23"/>
      <c r="H10" s="23"/>
      <c r="I10" s="23"/>
      <c r="J10" s="24">
        <v>0</v>
      </c>
      <c r="K10" s="23">
        <v>0</v>
      </c>
      <c r="L10" s="25">
        <f t="shared" si="0"/>
        <v>24</v>
      </c>
    </row>
    <row r="11" spans="1:12" s="26" customFormat="1" ht="10.199999999999999" x14ac:dyDescent="0.2">
      <c r="A11" s="21"/>
      <c r="B11" s="22" t="s">
        <v>20</v>
      </c>
      <c r="C11" s="23"/>
      <c r="D11" s="23"/>
      <c r="E11" s="23"/>
      <c r="F11" s="23"/>
      <c r="G11" s="23"/>
      <c r="H11" s="23"/>
      <c r="I11" s="23"/>
      <c r="J11" s="24">
        <v>0</v>
      </c>
      <c r="K11" s="23"/>
      <c r="L11" s="25">
        <f t="shared" si="0"/>
        <v>0</v>
      </c>
    </row>
    <row r="12" spans="1:12" s="26" customFormat="1" ht="10.199999999999999" x14ac:dyDescent="0.2">
      <c r="A12" s="21"/>
      <c r="B12" s="22" t="s">
        <v>21</v>
      </c>
      <c r="C12" s="23"/>
      <c r="D12" s="23">
        <v>100</v>
      </c>
      <c r="E12" s="23"/>
      <c r="F12" s="23"/>
      <c r="G12" s="23"/>
      <c r="H12" s="23"/>
      <c r="I12" s="23"/>
      <c r="J12" s="24"/>
      <c r="K12" s="23"/>
      <c r="L12" s="25">
        <f t="shared" si="0"/>
        <v>100</v>
      </c>
    </row>
    <row r="13" spans="1:12" s="26" customFormat="1" ht="10.199999999999999" x14ac:dyDescent="0.2">
      <c r="A13" s="21"/>
      <c r="B13" s="22" t="s">
        <v>22</v>
      </c>
      <c r="C13" s="23"/>
      <c r="D13" s="23"/>
      <c r="E13" s="23"/>
      <c r="F13" s="23"/>
      <c r="G13" s="23"/>
      <c r="H13" s="23"/>
      <c r="I13" s="23"/>
      <c r="J13" s="24"/>
      <c r="K13" s="23"/>
      <c r="L13" s="25">
        <f t="shared" si="0"/>
        <v>0</v>
      </c>
    </row>
    <row r="14" spans="1:12" s="26" customFormat="1" ht="10.199999999999999" x14ac:dyDescent="0.2">
      <c r="A14" s="21"/>
      <c r="B14" s="22" t="s">
        <v>23</v>
      </c>
      <c r="C14" s="23"/>
      <c r="D14" s="23">
        <v>12</v>
      </c>
      <c r="E14" s="23"/>
      <c r="F14" s="23"/>
      <c r="G14" s="23"/>
      <c r="H14" s="23"/>
      <c r="I14" s="23"/>
      <c r="J14" s="23"/>
      <c r="K14" s="23"/>
      <c r="L14" s="25">
        <f t="shared" si="0"/>
        <v>12</v>
      </c>
    </row>
    <row r="15" spans="1:12" s="26" customFormat="1" ht="10.199999999999999" x14ac:dyDescent="0.2">
      <c r="A15" s="21"/>
      <c r="B15" s="22" t="s">
        <v>24</v>
      </c>
      <c r="C15" s="23"/>
      <c r="D15" s="23">
        <v>24</v>
      </c>
      <c r="E15" s="23"/>
      <c r="F15" s="23"/>
      <c r="G15" s="23"/>
      <c r="H15" s="23"/>
      <c r="I15" s="23"/>
      <c r="J15" s="23">
        <v>0</v>
      </c>
      <c r="K15" s="23">
        <v>0</v>
      </c>
      <c r="L15" s="25">
        <f t="shared" si="0"/>
        <v>24</v>
      </c>
    </row>
    <row r="16" spans="1:12" s="26" customFormat="1" ht="10.199999999999999" x14ac:dyDescent="0.2">
      <c r="A16" s="21"/>
      <c r="B16" s="22" t="s">
        <v>25</v>
      </c>
      <c r="C16" s="23"/>
      <c r="D16" s="23"/>
      <c r="E16" s="23"/>
      <c r="F16" s="23"/>
      <c r="G16" s="23"/>
      <c r="H16" s="23"/>
      <c r="I16" s="23"/>
      <c r="J16" s="23"/>
      <c r="K16" s="23"/>
      <c r="L16" s="25">
        <f t="shared" si="0"/>
        <v>0</v>
      </c>
    </row>
    <row r="17" spans="1:12" s="26" customFormat="1" ht="10.199999999999999" x14ac:dyDescent="0.2">
      <c r="A17" s="21"/>
      <c r="B17" s="28" t="s">
        <v>26</v>
      </c>
      <c r="C17" s="23">
        <f>SUM(C8:C16)</f>
        <v>40</v>
      </c>
      <c r="D17" s="23">
        <f>SUM(D8:D16)</f>
        <v>160</v>
      </c>
      <c r="E17" s="23">
        <f t="shared" ref="E17:L17" si="1">SUM(E8:E16)</f>
        <v>0</v>
      </c>
      <c r="F17" s="23">
        <f t="shared" si="1"/>
        <v>0</v>
      </c>
      <c r="G17" s="23">
        <f t="shared" si="1"/>
        <v>0</v>
      </c>
      <c r="H17" s="23">
        <f t="shared" si="1"/>
        <v>0</v>
      </c>
      <c r="I17" s="23">
        <f t="shared" si="1"/>
        <v>0</v>
      </c>
      <c r="J17" s="23">
        <f t="shared" si="1"/>
        <v>0</v>
      </c>
      <c r="K17" s="23">
        <f t="shared" si="1"/>
        <v>0</v>
      </c>
      <c r="L17" s="24">
        <f t="shared" si="1"/>
        <v>200</v>
      </c>
    </row>
    <row r="18" spans="1:12" s="26" customFormat="1" ht="10.8" thickBot="1" x14ac:dyDescent="0.25">
      <c r="B18" s="29"/>
    </row>
    <row r="19" spans="1:12" s="26" customFormat="1" ht="10.199999999999999" x14ac:dyDescent="0.2">
      <c r="A19" s="30" t="s">
        <v>27</v>
      </c>
      <c r="B19" s="31" t="s">
        <v>28</v>
      </c>
      <c r="C19" s="30" t="s">
        <v>29</v>
      </c>
      <c r="D19" s="30" t="s">
        <v>30</v>
      </c>
      <c r="E19" s="30" t="s">
        <v>31</v>
      </c>
      <c r="F19" s="30" t="s">
        <v>32</v>
      </c>
      <c r="H19" s="32" t="s">
        <v>33</v>
      </c>
      <c r="K19" s="33">
        <f>SUM(F20:F42)</f>
        <v>44838</v>
      </c>
    </row>
    <row r="20" spans="1:12" s="26" customFormat="1" ht="21" thickBot="1" x14ac:dyDescent="0.25">
      <c r="A20" s="34">
        <v>2</v>
      </c>
      <c r="B20" s="35" t="s">
        <v>50</v>
      </c>
      <c r="C20" s="36">
        <v>8489</v>
      </c>
      <c r="D20" s="36">
        <f t="shared" ref="D20:D44" si="2">A20*C20</f>
        <v>16978</v>
      </c>
      <c r="E20" s="36">
        <v>6367</v>
      </c>
      <c r="F20" s="36">
        <f>A20*E20</f>
        <v>12734</v>
      </c>
      <c r="G20" s="37">
        <f t="shared" ref="G20:G42" si="3">+(D20-F20)/D20</f>
        <v>0.24997055012368949</v>
      </c>
      <c r="H20" s="32" t="s">
        <v>34</v>
      </c>
      <c r="J20" s="38">
        <v>0.15</v>
      </c>
      <c r="K20" s="39">
        <f>(K19/(1-J20))-K19</f>
        <v>7912.5882352941189</v>
      </c>
    </row>
    <row r="21" spans="1:12" s="26" customFormat="1" ht="20.399999999999999" x14ac:dyDescent="0.2">
      <c r="A21" s="34">
        <v>1</v>
      </c>
      <c r="B21" s="35" t="s">
        <v>49</v>
      </c>
      <c r="C21" s="40">
        <v>20154</v>
      </c>
      <c r="D21" s="40">
        <f t="shared" si="2"/>
        <v>20154</v>
      </c>
      <c r="E21" s="40">
        <v>15116</v>
      </c>
      <c r="F21" s="40">
        <v>15116</v>
      </c>
      <c r="G21" s="37">
        <f t="shared" si="3"/>
        <v>0.24997519102907612</v>
      </c>
      <c r="H21" s="32" t="s">
        <v>35</v>
      </c>
      <c r="K21" s="41">
        <f>SUM(K19:K20)</f>
        <v>52750.588235294119</v>
      </c>
    </row>
    <row r="22" spans="1:12" s="26" customFormat="1" ht="10.199999999999999" x14ac:dyDescent="0.2">
      <c r="A22" s="34">
        <v>1</v>
      </c>
      <c r="B22" s="42" t="s">
        <v>36</v>
      </c>
      <c r="C22" s="36">
        <v>14988</v>
      </c>
      <c r="D22" s="36">
        <f t="shared" si="2"/>
        <v>14988</v>
      </c>
      <c r="E22" s="36">
        <v>14988</v>
      </c>
      <c r="F22" s="36">
        <f>A22*E22</f>
        <v>14988</v>
      </c>
      <c r="G22" s="37" t="e">
        <f>+(#REF!-#REF!)/#REF!</f>
        <v>#REF!</v>
      </c>
      <c r="H22" s="32"/>
      <c r="K22" s="33"/>
    </row>
    <row r="23" spans="1:12" s="26" customFormat="1" ht="10.8" thickBot="1" x14ac:dyDescent="0.25">
      <c r="A23" s="34">
        <v>1</v>
      </c>
      <c r="B23" s="35" t="s">
        <v>37</v>
      </c>
      <c r="C23" s="36">
        <v>2750</v>
      </c>
      <c r="D23" s="36">
        <f t="shared" si="2"/>
        <v>2750</v>
      </c>
      <c r="E23" s="36">
        <v>2000</v>
      </c>
      <c r="F23" s="36">
        <f>A23*E23</f>
        <v>2000</v>
      </c>
      <c r="G23" s="37">
        <f>+(D22-F22)/D22</f>
        <v>0</v>
      </c>
      <c r="H23" s="32" t="s">
        <v>38</v>
      </c>
      <c r="K23" s="33">
        <f>D43+D44</f>
        <v>19000</v>
      </c>
    </row>
    <row r="24" spans="1:12" s="26" customFormat="1" ht="10.199999999999999" x14ac:dyDescent="0.2">
      <c r="A24" s="23"/>
      <c r="B24" s="23"/>
      <c r="C24" s="23"/>
      <c r="D24" s="36">
        <f t="shared" si="2"/>
        <v>0</v>
      </c>
      <c r="E24" s="36">
        <f>B24*D24</f>
        <v>0</v>
      </c>
      <c r="F24" s="36">
        <f>C24*E24</f>
        <v>0</v>
      </c>
      <c r="G24" s="37">
        <f>+(D23-F23)/D23</f>
        <v>0.27272727272727271</v>
      </c>
      <c r="H24" s="32" t="s">
        <v>39</v>
      </c>
      <c r="K24" s="41">
        <f>K21+K23</f>
        <v>71750.588235294126</v>
      </c>
    </row>
    <row r="25" spans="1:12" s="26" customFormat="1" ht="10.8" x14ac:dyDescent="0.25">
      <c r="A25" s="34"/>
      <c r="B25" s="35"/>
      <c r="C25" s="36"/>
      <c r="D25" s="36">
        <f t="shared" si="2"/>
        <v>0</v>
      </c>
      <c r="E25" s="36"/>
      <c r="F25" s="36"/>
      <c r="G25" s="37" t="e">
        <f t="shared" si="3"/>
        <v>#DIV/0!</v>
      </c>
      <c r="H25" s="32"/>
      <c r="I25" s="43"/>
      <c r="K25" s="33"/>
    </row>
    <row r="26" spans="1:12" s="26" customFormat="1" ht="10.8" x14ac:dyDescent="0.25">
      <c r="A26" s="34"/>
      <c r="B26" s="35"/>
      <c r="C26" s="36"/>
      <c r="D26" s="36">
        <f t="shared" si="2"/>
        <v>0</v>
      </c>
      <c r="E26" s="36"/>
      <c r="F26" s="36">
        <f t="shared" ref="F26:F44" si="4">A26*E26</f>
        <v>0</v>
      </c>
      <c r="G26" s="37" t="e">
        <f t="shared" si="3"/>
        <v>#DIV/0!</v>
      </c>
      <c r="H26" s="32" t="s">
        <v>40</v>
      </c>
      <c r="I26" s="43"/>
      <c r="K26" s="33">
        <f>SUM(D45)</f>
        <v>73870</v>
      </c>
    </row>
    <row r="27" spans="1:12" s="26" customFormat="1" ht="10.8" x14ac:dyDescent="0.25">
      <c r="A27" s="34"/>
      <c r="B27" s="35"/>
      <c r="C27" s="36"/>
      <c r="D27" s="36">
        <f t="shared" si="2"/>
        <v>0</v>
      </c>
      <c r="E27" s="36"/>
      <c r="F27" s="36">
        <f t="shared" si="4"/>
        <v>0</v>
      </c>
      <c r="G27" s="37" t="e">
        <f t="shared" si="3"/>
        <v>#DIV/0!</v>
      </c>
      <c r="H27" s="32" t="s">
        <v>41</v>
      </c>
      <c r="I27" s="43"/>
      <c r="K27" s="33">
        <f>K26-K24</f>
        <v>2119.4117647058738</v>
      </c>
    </row>
    <row r="28" spans="1:12" s="26" customFormat="1" ht="10.8" x14ac:dyDescent="0.25">
      <c r="A28" s="34"/>
      <c r="B28" s="35"/>
      <c r="C28" s="36"/>
      <c r="D28" s="36">
        <f t="shared" si="2"/>
        <v>0</v>
      </c>
      <c r="E28" s="36"/>
      <c r="F28" s="36">
        <f t="shared" si="4"/>
        <v>0</v>
      </c>
      <c r="G28" s="37" t="e">
        <f t="shared" si="3"/>
        <v>#DIV/0!</v>
      </c>
      <c r="H28" s="32"/>
      <c r="I28" s="43"/>
    </row>
    <row r="29" spans="1:12" s="26" customFormat="1" ht="10.8" x14ac:dyDescent="0.25">
      <c r="A29" s="34"/>
      <c r="B29" s="35"/>
      <c r="C29" s="36"/>
      <c r="D29" s="36">
        <f t="shared" si="2"/>
        <v>0</v>
      </c>
      <c r="E29" s="36"/>
      <c r="F29" s="36">
        <f t="shared" si="4"/>
        <v>0</v>
      </c>
      <c r="G29" s="37" t="e">
        <f t="shared" si="3"/>
        <v>#DIV/0!</v>
      </c>
      <c r="H29" s="32" t="s">
        <v>42</v>
      </c>
      <c r="I29" s="43"/>
      <c r="K29" s="33">
        <f>K24-F45</f>
        <v>13312.588235294126</v>
      </c>
    </row>
    <row r="30" spans="1:12" s="26" customFormat="1" ht="10.8" x14ac:dyDescent="0.25">
      <c r="A30" s="34"/>
      <c r="B30" s="35"/>
      <c r="C30" s="36"/>
      <c r="D30" s="36">
        <f t="shared" si="2"/>
        <v>0</v>
      </c>
      <c r="E30" s="36"/>
      <c r="F30" s="36">
        <f t="shared" si="4"/>
        <v>0</v>
      </c>
      <c r="G30" s="37" t="e">
        <f t="shared" si="3"/>
        <v>#DIV/0!</v>
      </c>
      <c r="H30" s="32" t="s">
        <v>43</v>
      </c>
      <c r="I30" s="43"/>
      <c r="K30" s="44">
        <f>1-(F45/K24)</f>
        <v>0.18553977831704604</v>
      </c>
    </row>
    <row r="31" spans="1:12" s="26" customFormat="1" ht="10.199999999999999" x14ac:dyDescent="0.2">
      <c r="A31" s="34"/>
      <c r="B31" s="35"/>
      <c r="C31" s="36"/>
      <c r="D31" s="36">
        <f t="shared" si="2"/>
        <v>0</v>
      </c>
      <c r="E31" s="36"/>
      <c r="F31" s="36">
        <f t="shared" si="4"/>
        <v>0</v>
      </c>
      <c r="G31" s="37" t="e">
        <f t="shared" si="3"/>
        <v>#DIV/0!</v>
      </c>
    </row>
    <row r="32" spans="1:12" s="26" customFormat="1" ht="10.199999999999999" x14ac:dyDescent="0.2">
      <c r="A32" s="34"/>
      <c r="B32" s="35"/>
      <c r="C32" s="36"/>
      <c r="D32" s="36">
        <f t="shared" si="2"/>
        <v>0</v>
      </c>
      <c r="E32" s="36"/>
      <c r="F32" s="36">
        <f t="shared" si="4"/>
        <v>0</v>
      </c>
      <c r="G32" s="37" t="e">
        <f t="shared" si="3"/>
        <v>#DIV/0!</v>
      </c>
      <c r="I32" s="32" t="s">
        <v>44</v>
      </c>
    </row>
    <row r="33" spans="1:11" s="26" customFormat="1" ht="10.199999999999999" x14ac:dyDescent="0.2">
      <c r="A33" s="34"/>
      <c r="B33" s="35"/>
      <c r="C33" s="36"/>
      <c r="D33" s="36">
        <f t="shared" si="2"/>
        <v>0</v>
      </c>
      <c r="E33" s="36"/>
      <c r="F33" s="36">
        <f t="shared" si="4"/>
        <v>0</v>
      </c>
      <c r="G33" s="37" t="e">
        <f t="shared" si="3"/>
        <v>#DIV/0!</v>
      </c>
    </row>
    <row r="34" spans="1:11" s="26" customFormat="1" ht="10.199999999999999" x14ac:dyDescent="0.2">
      <c r="A34" s="34"/>
      <c r="B34" s="35"/>
      <c r="C34" s="36"/>
      <c r="D34" s="36">
        <f t="shared" si="2"/>
        <v>0</v>
      </c>
      <c r="E34" s="36"/>
      <c r="F34" s="36">
        <f t="shared" si="4"/>
        <v>0</v>
      </c>
      <c r="G34" s="37" t="e">
        <f t="shared" si="3"/>
        <v>#DIV/0!</v>
      </c>
    </row>
    <row r="35" spans="1:11" s="26" customFormat="1" ht="10.199999999999999" x14ac:dyDescent="0.2">
      <c r="A35" s="34"/>
      <c r="B35" s="35"/>
      <c r="C35" s="36"/>
      <c r="D35" s="36">
        <f t="shared" si="2"/>
        <v>0</v>
      </c>
      <c r="E35" s="36"/>
      <c r="F35" s="36">
        <f t="shared" si="4"/>
        <v>0</v>
      </c>
      <c r="G35" s="37" t="e">
        <f t="shared" si="3"/>
        <v>#DIV/0!</v>
      </c>
      <c r="H35" s="26" t="s">
        <v>45</v>
      </c>
      <c r="K35" s="45">
        <f>+(K24-K19-((A43+A44)*65))/K24</f>
        <v>0.19390207909752749</v>
      </c>
    </row>
    <row r="36" spans="1:11" s="26" customFormat="1" ht="10.199999999999999" x14ac:dyDescent="0.2">
      <c r="A36" s="34"/>
      <c r="B36" s="35"/>
      <c r="C36" s="36"/>
      <c r="D36" s="36">
        <f t="shared" si="2"/>
        <v>0</v>
      </c>
      <c r="E36" s="36"/>
      <c r="F36" s="36">
        <f t="shared" si="4"/>
        <v>0</v>
      </c>
      <c r="G36" s="37" t="e">
        <f t="shared" si="3"/>
        <v>#DIV/0!</v>
      </c>
    </row>
    <row r="37" spans="1:11" s="26" customFormat="1" ht="10.199999999999999" x14ac:dyDescent="0.2">
      <c r="A37" s="34"/>
      <c r="B37" s="35"/>
      <c r="C37" s="36"/>
      <c r="D37" s="36">
        <f t="shared" si="2"/>
        <v>0</v>
      </c>
      <c r="E37" s="36"/>
      <c r="F37" s="36">
        <f t="shared" si="4"/>
        <v>0</v>
      </c>
      <c r="G37" s="37" t="e">
        <f t="shared" si="3"/>
        <v>#DIV/0!</v>
      </c>
      <c r="K37" s="33"/>
    </row>
    <row r="38" spans="1:11" s="26" customFormat="1" ht="10.199999999999999" x14ac:dyDescent="0.2">
      <c r="A38" s="34"/>
      <c r="B38" s="35"/>
      <c r="C38" s="36"/>
      <c r="D38" s="36">
        <f t="shared" si="2"/>
        <v>0</v>
      </c>
      <c r="E38" s="36"/>
      <c r="F38" s="36">
        <f t="shared" si="4"/>
        <v>0</v>
      </c>
      <c r="G38" s="37" t="e">
        <f t="shared" si="3"/>
        <v>#DIV/0!</v>
      </c>
      <c r="K38" s="33"/>
    </row>
    <row r="39" spans="1:11" s="26" customFormat="1" ht="10.199999999999999" x14ac:dyDescent="0.2">
      <c r="A39" s="34"/>
      <c r="B39" s="35"/>
      <c r="C39" s="36"/>
      <c r="D39" s="36">
        <f t="shared" si="2"/>
        <v>0</v>
      </c>
      <c r="E39" s="36"/>
      <c r="F39" s="36">
        <f t="shared" si="4"/>
        <v>0</v>
      </c>
      <c r="G39" s="37" t="e">
        <f t="shared" si="3"/>
        <v>#DIV/0!</v>
      </c>
      <c r="K39" s="45"/>
    </row>
    <row r="40" spans="1:11" s="26" customFormat="1" ht="10.199999999999999" x14ac:dyDescent="0.2">
      <c r="A40" s="34"/>
      <c r="B40" s="35"/>
      <c r="C40" s="36"/>
      <c r="D40" s="36">
        <f t="shared" si="2"/>
        <v>0</v>
      </c>
      <c r="E40" s="36"/>
      <c r="F40" s="36">
        <f t="shared" si="4"/>
        <v>0</v>
      </c>
      <c r="G40" s="37" t="e">
        <f t="shared" si="3"/>
        <v>#DIV/0!</v>
      </c>
    </row>
    <row r="41" spans="1:11" s="26" customFormat="1" ht="10.199999999999999" x14ac:dyDescent="0.2">
      <c r="A41" s="34"/>
      <c r="B41" s="35"/>
      <c r="C41" s="36"/>
      <c r="D41" s="36">
        <f t="shared" si="2"/>
        <v>0</v>
      </c>
      <c r="E41" s="36"/>
      <c r="F41" s="36">
        <f t="shared" si="4"/>
        <v>0</v>
      </c>
      <c r="G41" s="37" t="e">
        <f t="shared" si="3"/>
        <v>#DIV/0!</v>
      </c>
    </row>
    <row r="42" spans="1:11" s="26" customFormat="1" ht="10.199999999999999" x14ac:dyDescent="0.2">
      <c r="A42" s="34"/>
      <c r="B42" s="35"/>
      <c r="C42" s="36"/>
      <c r="D42" s="36">
        <f t="shared" si="2"/>
        <v>0</v>
      </c>
      <c r="E42" s="36"/>
      <c r="F42" s="36">
        <f t="shared" si="4"/>
        <v>0</v>
      </c>
      <c r="G42" s="37" t="e">
        <f t="shared" si="3"/>
        <v>#DIV/0!</v>
      </c>
    </row>
    <row r="43" spans="1:11" s="26" customFormat="1" ht="10.199999999999999" x14ac:dyDescent="0.2">
      <c r="A43" s="46">
        <f>+G17+H17+J17</f>
        <v>0</v>
      </c>
      <c r="B43" s="35" t="s">
        <v>46</v>
      </c>
      <c r="C43" s="36">
        <v>95</v>
      </c>
      <c r="D43" s="36">
        <f t="shared" si="2"/>
        <v>0</v>
      </c>
      <c r="E43" s="36">
        <v>68</v>
      </c>
      <c r="F43" s="36">
        <f t="shared" si="4"/>
        <v>0</v>
      </c>
      <c r="G43" s="37"/>
    </row>
    <row r="44" spans="1:11" s="26" customFormat="1" ht="10.199999999999999" x14ac:dyDescent="0.2">
      <c r="A44" s="46">
        <f>+L17:L17-G17-H17-J17</f>
        <v>200</v>
      </c>
      <c r="B44" s="35" t="s">
        <v>47</v>
      </c>
      <c r="C44" s="36">
        <v>95</v>
      </c>
      <c r="D44" s="36">
        <f t="shared" si="2"/>
        <v>19000</v>
      </c>
      <c r="E44" s="36">
        <v>68</v>
      </c>
      <c r="F44" s="36">
        <f t="shared" si="4"/>
        <v>13600</v>
      </c>
    </row>
    <row r="45" spans="1:11" s="26" customFormat="1" ht="10.8" thickBot="1" x14ac:dyDescent="0.25">
      <c r="A45" s="47"/>
      <c r="B45" s="48" t="s">
        <v>16</v>
      </c>
      <c r="C45" s="49"/>
      <c r="D45" s="49">
        <f>SUM(D20:D44)</f>
        <v>73870</v>
      </c>
      <c r="E45" s="49"/>
      <c r="F45" s="49">
        <f>SUM(F20:F44)</f>
        <v>58438</v>
      </c>
    </row>
    <row r="46" spans="1:11" s="26" customFormat="1" ht="10.199999999999999" x14ac:dyDescent="0.2">
      <c r="B46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Linscomb</dc:creator>
  <cp:lastModifiedBy>James Bohart</cp:lastModifiedBy>
  <dcterms:created xsi:type="dcterms:W3CDTF">2018-02-08T02:56:35Z</dcterms:created>
  <dcterms:modified xsi:type="dcterms:W3CDTF">2018-02-09T14:58:35Z</dcterms:modified>
</cp:coreProperties>
</file>