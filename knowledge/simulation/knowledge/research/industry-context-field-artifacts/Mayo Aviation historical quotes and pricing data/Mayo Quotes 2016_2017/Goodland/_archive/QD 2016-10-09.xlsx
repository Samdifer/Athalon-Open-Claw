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Goodland\"/>
    </mc:Choice>
  </mc:AlternateContent>
  <bookViews>
    <workbookView xWindow="0" yWindow="0" windowWidth="20490" windowHeight="7530"/>
  </bookViews>
  <sheets>
    <sheet name="Sheet1" sheetId="1" r:id="rId1"/>
    <sheet name="Trade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2" l="1"/>
  <c r="D10" i="2" l="1"/>
  <c r="C35" i="1" l="1"/>
  <c r="E23" i="1"/>
  <c r="G23" i="1" s="1"/>
  <c r="I23" i="1" s="1"/>
  <c r="C16" i="1"/>
  <c r="E5" i="1"/>
  <c r="G5" i="1" s="1"/>
  <c r="I5" i="1" s="1"/>
  <c r="E24" i="1" l="1"/>
  <c r="G24" i="1" l="1"/>
  <c r="I24" i="1" s="1"/>
  <c r="E6" i="1"/>
  <c r="E11" i="1"/>
  <c r="E30" i="1"/>
  <c r="G30" i="1" s="1"/>
  <c r="I30" i="1" s="1"/>
  <c r="G29" i="1"/>
  <c r="I29" i="1" s="1"/>
  <c r="E31" i="1"/>
  <c r="G31" i="1" s="1"/>
  <c r="I31" i="1" s="1"/>
  <c r="G28" i="1"/>
  <c r="I28" i="1" s="1"/>
  <c r="E27" i="1"/>
  <c r="G27" i="1" s="1"/>
  <c r="I27" i="1" s="1"/>
  <c r="E26" i="1"/>
  <c r="G26" i="1" s="1"/>
  <c r="I26" i="1" s="1"/>
  <c r="E25" i="1"/>
  <c r="G6" i="1"/>
  <c r="I6" i="1" s="1"/>
  <c r="G32" i="1" l="1"/>
  <c r="G35" i="1" s="1"/>
  <c r="E35" i="1"/>
  <c r="G25" i="1"/>
  <c r="O8" i="1"/>
  <c r="E8" i="1"/>
  <c r="G8" i="1" s="1"/>
  <c r="I8" i="1" s="1"/>
  <c r="E12" i="1"/>
  <c r="L9" i="1"/>
  <c r="E7" i="1"/>
  <c r="E16" i="1" l="1"/>
  <c r="G7" i="1"/>
  <c r="I35" i="1"/>
  <c r="I25" i="1"/>
  <c r="G13" i="1"/>
  <c r="I7" i="1" l="1"/>
  <c r="G9" i="1"/>
  <c r="I9" i="1" s="1"/>
  <c r="G10" i="1"/>
  <c r="I10" i="1" s="1"/>
  <c r="G11" i="1"/>
  <c r="I11" i="1" s="1"/>
  <c r="G12" i="1"/>
  <c r="I12" i="1" l="1"/>
  <c r="G16" i="1"/>
  <c r="I16" i="1" s="1"/>
</calcChain>
</file>

<file path=xl/sharedStrings.xml><?xml version="1.0" encoding="utf-8"?>
<sst xmlns="http://schemas.openxmlformats.org/spreadsheetml/2006/main" count="37" uniqueCount="24">
  <si>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</si>
  <si>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</si>
  <si>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</si>
  <si>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</si>
  <si>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</si>
  <si>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</si>
  <si>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</si>
  <si>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</si>
  <si>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</si>
  <si>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# Prints</t>
  </si>
  <si>
    <t>Garmin Altitude Encoder(s)</t>
  </si>
  <si>
    <t>Garmin Flight Stream 210</t>
  </si>
  <si>
    <t>GTX 345R Transponder</t>
  </si>
  <si>
    <t>GTX 335R Transponder</t>
  </si>
  <si>
    <t>Garmin GTN-650</t>
  </si>
  <si>
    <t>Installation 65 Hrs</t>
  </si>
  <si>
    <t>Installation 70 Hrs</t>
  </si>
  <si>
    <t>Trade In</t>
  </si>
  <si>
    <t>less Flat Rate Cert</t>
  </si>
  <si>
    <t>less 25%</t>
  </si>
  <si>
    <t>Hours</t>
  </si>
  <si>
    <t>Trade In Value</t>
  </si>
  <si>
    <t>Less Profit</t>
  </si>
  <si>
    <t>Garmin 400 GPS (ILS 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</si>
</sst>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4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0" fontId="0" fillId="0" borderId="0" xfId="0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44" fontId="0" fillId="0" borderId="0" xfId="0" applyNumberFormat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164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4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35"/>
  <sheetViews>
    <sheetView tabSelected="1" topLeftCell="A13" workbookViewId="0">
      <selection activeCell="E29" sqref="E29"/>
    </sheetView>
  </sheetViews>
  <sheetFormatPr defaultRowHeight="15" x14ac:dyDescent="0.25"/>
  <cols>
    <col min="2" max="2" width="31.42578125" customWidth="1"/>
    <col min="3" max="3" width="22.42578125" style="5" customWidth="1"/>
    <col min="4" max="4" width="2.140625" style="5" customWidth="1"/>
    <col min="5" max="5" width="20.5703125" style="5" customWidth="1"/>
    <col min="6" max="6" width="1.7109375" style="5" customWidth="1"/>
    <col min="7" max="7" width="18.85546875" style="5" customWidth="1"/>
    <col min="8" max="8" width="2" style="5" customWidth="1"/>
    <col min="9" max="9" width="9.140625" style="12"/>
    <col min="11" max="11" width="9.7109375" customWidth="1"/>
  </cols>
  <sheetData>
    <row r="3" spans="2:16" x14ac:dyDescent="0.25">
      <c r="B3" s="1"/>
      <c r="C3" s="9" t="s">
        <v>4</v>
      </c>
      <c r="D3" s="9"/>
      <c r="E3" s="10" t="s">
        <v>5</v>
      </c>
      <c r="F3" s="10"/>
      <c r="G3" s="9" t="s">
        <v>6</v>
      </c>
      <c r="H3" s="9"/>
      <c r="I3" s="9" t="s">
        <v>7</v>
      </c>
    </row>
    <row r="4" spans="2:16" x14ac:dyDescent="0.25">
      <c r="B4" s="1"/>
      <c r="C4" s="9"/>
      <c r="D4" s="9"/>
      <c r="E4" s="10"/>
      <c r="F4" s="10"/>
      <c r="G4" s="9"/>
      <c r="H4" s="9"/>
      <c r="I4" s="9"/>
    </row>
    <row r="5" spans="2:16" x14ac:dyDescent="0.25">
      <c r="B5" s="14" t="s">
        <v>14</v>
      </c>
      <c r="C5" s="4">
        <v>8550</v>
      </c>
      <c r="D5" s="4"/>
      <c r="E5" s="4">
        <f>C5*1.176</f>
        <v>10054.799999999999</v>
      </c>
      <c r="F5" s="4"/>
      <c r="G5" s="8">
        <f>E5-C5</f>
        <v>1504.7999999999993</v>
      </c>
      <c r="H5" s="8"/>
      <c r="I5" s="11">
        <f t="shared" ref="I5" si="0">G5/E5</f>
        <v>0.14965986394557818</v>
      </c>
    </row>
    <row r="6" spans="2:16" x14ac:dyDescent="0.25">
      <c r="B6" s="2" t="s">
        <v>10</v>
      </c>
      <c r="C6" s="4">
        <v>420</v>
      </c>
      <c r="D6" s="4"/>
      <c r="E6" s="4">
        <f>C6*1.176</f>
        <v>493.91999999999996</v>
      </c>
      <c r="F6" s="4"/>
      <c r="G6" s="8">
        <f>E6-C6</f>
        <v>73.919999999999959</v>
      </c>
      <c r="H6" s="8"/>
      <c r="I6" s="11">
        <f t="shared" ref="I6:I8" si="1">G6/E6</f>
        <v>0.14965986394557815</v>
      </c>
      <c r="K6" s="13"/>
      <c r="L6">
        <v>4</v>
      </c>
      <c r="M6" t="s">
        <v>9</v>
      </c>
      <c r="O6">
        <v>70</v>
      </c>
      <c r="P6" t="s">
        <v>20</v>
      </c>
    </row>
    <row r="7" spans="2:16" x14ac:dyDescent="0.25">
      <c r="B7" s="2" t="s">
        <v>13</v>
      </c>
      <c r="C7" s="4">
        <v>2246</v>
      </c>
      <c r="D7" s="4"/>
      <c r="E7" s="4">
        <f>C7*1.176</f>
        <v>2641.2959999999998</v>
      </c>
      <c r="F7" s="4"/>
      <c r="G7" s="8">
        <f>E7-C7</f>
        <v>395.29599999999982</v>
      </c>
      <c r="H7" s="8"/>
      <c r="I7" s="11">
        <f t="shared" si="1"/>
        <v>0.14965986394557818</v>
      </c>
      <c r="L7">
        <v>4</v>
      </c>
      <c r="O7">
        <v>80</v>
      </c>
    </row>
    <row r="8" spans="2:16" x14ac:dyDescent="0.25">
      <c r="B8" s="2" t="s">
        <v>13</v>
      </c>
      <c r="C8" s="4">
        <v>2246</v>
      </c>
      <c r="D8" s="4"/>
      <c r="E8" s="4">
        <f t="shared" ref="E8:E12" si="2">C8*1.176</f>
        <v>2641.2959999999998</v>
      </c>
      <c r="F8" s="4"/>
      <c r="G8" s="8">
        <f>E8-C8</f>
        <v>395.29599999999982</v>
      </c>
      <c r="H8" s="8"/>
      <c r="I8" s="11">
        <f t="shared" si="1"/>
        <v>0.14965986394557818</v>
      </c>
      <c r="L8">
        <v>85</v>
      </c>
      <c r="O8">
        <f>O6*O7</f>
        <v>5600</v>
      </c>
    </row>
    <row r="9" spans="2:16" x14ac:dyDescent="0.25">
      <c r="B9" s="2" t="s">
        <v>15</v>
      </c>
      <c r="C9" s="4">
        <v>2925</v>
      </c>
      <c r="D9" s="4"/>
      <c r="E9" s="4">
        <v>5200</v>
      </c>
      <c r="F9" s="4"/>
      <c r="G9" s="8">
        <f t="shared" ref="G9:G13" si="3">E9-C9</f>
        <v>2275</v>
      </c>
      <c r="H9" s="8"/>
      <c r="I9" s="11">
        <f>G9/E9</f>
        <v>0.4375</v>
      </c>
      <c r="L9">
        <f>L6*L7*L8</f>
        <v>1360</v>
      </c>
    </row>
    <row r="10" spans="2:16" x14ac:dyDescent="0.25">
      <c r="B10" s="2" t="s">
        <v>0</v>
      </c>
      <c r="C10" s="4">
        <v>125</v>
      </c>
      <c r="D10" s="4"/>
      <c r="E10" s="4">
        <v>125</v>
      </c>
      <c r="F10" s="4"/>
      <c r="G10" s="8">
        <f t="shared" si="3"/>
        <v>0</v>
      </c>
      <c r="H10" s="8"/>
      <c r="I10" s="11">
        <f>G10/E10</f>
        <v>0</v>
      </c>
    </row>
    <row r="11" spans="2:16" x14ac:dyDescent="0.25">
      <c r="B11" s="2" t="s">
        <v>1</v>
      </c>
      <c r="C11" s="4">
        <v>500</v>
      </c>
      <c r="D11" s="4"/>
      <c r="E11" s="4">
        <f t="shared" si="2"/>
        <v>588</v>
      </c>
      <c r="F11" s="4"/>
      <c r="G11" s="8">
        <f t="shared" si="3"/>
        <v>88</v>
      </c>
      <c r="H11" s="8"/>
      <c r="I11" s="11">
        <f>G11/E11</f>
        <v>0.14965986394557823</v>
      </c>
    </row>
    <row r="12" spans="2:16" x14ac:dyDescent="0.25">
      <c r="B12" s="2" t="s">
        <v>2</v>
      </c>
      <c r="C12" s="4">
        <v>1360</v>
      </c>
      <c r="D12" s="4"/>
      <c r="E12" s="4">
        <f t="shared" si="2"/>
        <v>1599.36</v>
      </c>
      <c r="F12" s="4"/>
      <c r="G12" s="8">
        <f t="shared" si="3"/>
        <v>239.3599999999999</v>
      </c>
      <c r="H12" s="8"/>
      <c r="I12" s="11">
        <f>G12/E12</f>
        <v>0.14965986394557818</v>
      </c>
    </row>
    <row r="13" spans="2:16" x14ac:dyDescent="0.25">
      <c r="B13" s="2" t="s">
        <v>8</v>
      </c>
      <c r="C13" s="4">
        <v>-500</v>
      </c>
      <c r="D13" s="4"/>
      <c r="E13" s="4"/>
      <c r="F13" s="4"/>
      <c r="G13" s="8">
        <f t="shared" si="3"/>
        <v>500</v>
      </c>
      <c r="H13" s="8"/>
      <c r="I13" s="11"/>
    </row>
    <row r="14" spans="2:16" x14ac:dyDescent="0.25">
      <c r="B14" s="2"/>
      <c r="C14" s="4"/>
      <c r="D14" s="4"/>
      <c r="E14" s="4"/>
      <c r="F14" s="4"/>
      <c r="G14" s="8"/>
      <c r="H14" s="8"/>
      <c r="I14" s="11"/>
    </row>
    <row r="15" spans="2:16" ht="15.75" thickBot="1" x14ac:dyDescent="0.3">
      <c r="B15" s="3"/>
      <c r="C15" s="4"/>
      <c r="D15" s="4"/>
      <c r="E15" s="6"/>
      <c r="F15" s="6"/>
      <c r="G15" s="8"/>
      <c r="H15" s="8"/>
      <c r="I15" s="11"/>
    </row>
    <row r="16" spans="2:16" ht="15.75" thickTop="1" x14ac:dyDescent="0.25">
      <c r="B16" s="3" t="s">
        <v>3</v>
      </c>
      <c r="C16" s="7">
        <f>SUM(C5:C15)</f>
        <v>17872</v>
      </c>
      <c r="D16" s="4"/>
      <c r="E16" s="7">
        <f>SUM(E5:E15)</f>
        <v>23343.671999999999</v>
      </c>
      <c r="F16" s="6"/>
      <c r="G16" s="7">
        <f>SUM(G5:G15)</f>
        <v>5471.6719999999987</v>
      </c>
      <c r="H16" s="6"/>
      <c r="I16" s="11">
        <f>G16/E16</f>
        <v>0.23439637088800763</v>
      </c>
    </row>
    <row r="21" spans="2:9" x14ac:dyDescent="0.25">
      <c r="B21" s="1"/>
      <c r="C21" s="9" t="s">
        <v>4</v>
      </c>
      <c r="D21" s="9"/>
      <c r="E21" s="10" t="s">
        <v>5</v>
      </c>
      <c r="F21" s="10"/>
      <c r="G21" s="9" t="s">
        <v>6</v>
      </c>
      <c r="H21" s="9"/>
      <c r="I21" s="9" t="s">
        <v>7</v>
      </c>
    </row>
    <row r="22" spans="2:9" x14ac:dyDescent="0.25">
      <c r="B22" s="1"/>
      <c r="C22" s="9"/>
      <c r="D22" s="9"/>
      <c r="E22" s="10"/>
      <c r="F22" s="10"/>
      <c r="G22" s="9"/>
      <c r="H22" s="9"/>
      <c r="I22" s="9"/>
    </row>
    <row r="23" spans="2:9" x14ac:dyDescent="0.25">
      <c r="B23" s="14" t="s">
        <v>14</v>
      </c>
      <c r="C23" s="4">
        <v>8550</v>
      </c>
      <c r="D23" s="4"/>
      <c r="E23" s="4">
        <f>C23*1.176</f>
        <v>10054.799999999999</v>
      </c>
      <c r="F23" s="4"/>
      <c r="G23" s="8">
        <f>E23-C23</f>
        <v>1504.7999999999993</v>
      </c>
      <c r="H23" s="8"/>
      <c r="I23" s="11">
        <f t="shared" ref="I23" si="4">G23/E23</f>
        <v>0.14965986394557818</v>
      </c>
    </row>
    <row r="24" spans="2:9" x14ac:dyDescent="0.25">
      <c r="B24" s="2" t="s">
        <v>11</v>
      </c>
      <c r="C24" s="4">
        <v>750</v>
      </c>
      <c r="D24" s="4"/>
      <c r="E24" s="4">
        <f>C24*1.176</f>
        <v>882</v>
      </c>
      <c r="F24" s="4"/>
      <c r="G24" s="8">
        <f>E24-C24</f>
        <v>132</v>
      </c>
      <c r="H24" s="8"/>
      <c r="I24" s="11">
        <f t="shared" ref="I24:I27" si="5">G24/E24</f>
        <v>0.14965986394557823</v>
      </c>
    </row>
    <row r="25" spans="2:9" x14ac:dyDescent="0.25">
      <c r="B25" s="2" t="s">
        <v>10</v>
      </c>
      <c r="C25" s="4">
        <v>420</v>
      </c>
      <c r="D25" s="4"/>
      <c r="E25" s="4">
        <f>C25*1.176</f>
        <v>493.91999999999996</v>
      </c>
      <c r="F25" s="4"/>
      <c r="G25" s="8">
        <f>E25-C25</f>
        <v>73.919999999999959</v>
      </c>
      <c r="H25" s="8"/>
      <c r="I25" s="11">
        <f t="shared" si="5"/>
        <v>0.14965986394557815</v>
      </c>
    </row>
    <row r="26" spans="2:9" x14ac:dyDescent="0.25">
      <c r="B26" s="2" t="s">
        <v>12</v>
      </c>
      <c r="C26" s="4">
        <v>3746</v>
      </c>
      <c r="D26" s="4"/>
      <c r="E26" s="4">
        <f>C26*1.176</f>
        <v>4405.2959999999994</v>
      </c>
      <c r="F26" s="4"/>
      <c r="G26" s="8">
        <f>E26-C26</f>
        <v>659.29599999999937</v>
      </c>
      <c r="H26" s="8"/>
      <c r="I26" s="11">
        <f t="shared" si="5"/>
        <v>0.14965986394557812</v>
      </c>
    </row>
    <row r="27" spans="2:9" x14ac:dyDescent="0.25">
      <c r="B27" s="2" t="s">
        <v>12</v>
      </c>
      <c r="C27" s="4">
        <v>3746</v>
      </c>
      <c r="D27" s="4"/>
      <c r="E27" s="4">
        <f t="shared" ref="E27" si="6">C27*1.176</f>
        <v>4405.2959999999994</v>
      </c>
      <c r="F27" s="4"/>
      <c r="G27" s="8">
        <f>E27-C27</f>
        <v>659.29599999999937</v>
      </c>
      <c r="H27" s="8"/>
      <c r="I27" s="11">
        <f t="shared" si="5"/>
        <v>0.14965986394557812</v>
      </c>
    </row>
    <row r="28" spans="2:9" x14ac:dyDescent="0.25">
      <c r="B28" s="2" t="s">
        <v>16</v>
      </c>
      <c r="C28" s="4">
        <v>3150</v>
      </c>
      <c r="D28" s="4"/>
      <c r="E28" s="4">
        <v>5600</v>
      </c>
      <c r="F28" s="4"/>
      <c r="G28" s="8">
        <f t="shared" ref="G28:G32" si="7">E28-C28</f>
        <v>2450</v>
      </c>
      <c r="H28" s="8"/>
      <c r="I28" s="11">
        <f>G28/E28</f>
        <v>0.4375</v>
      </c>
    </row>
    <row r="29" spans="2:9" x14ac:dyDescent="0.25">
      <c r="B29" s="2" t="s">
        <v>0</v>
      </c>
      <c r="C29" s="4">
        <v>125</v>
      </c>
      <c r="D29" s="4"/>
      <c r="E29" s="4">
        <v>125</v>
      </c>
      <c r="F29" s="4"/>
      <c r="G29" s="8">
        <f t="shared" si="7"/>
        <v>0</v>
      </c>
      <c r="H29" s="8"/>
      <c r="I29" s="11">
        <f>G29/E29</f>
        <v>0</v>
      </c>
    </row>
    <row r="30" spans="2:9" x14ac:dyDescent="0.25">
      <c r="B30" s="2" t="s">
        <v>1</v>
      </c>
      <c r="C30" s="4">
        <v>500</v>
      </c>
      <c r="D30" s="4"/>
      <c r="E30" s="4">
        <f t="shared" ref="E30:E32" si="8">C30*1.176</f>
        <v>588</v>
      </c>
      <c r="F30" s="4"/>
      <c r="G30" s="8">
        <f t="shared" si="7"/>
        <v>88</v>
      </c>
      <c r="H30" s="8"/>
      <c r="I30" s="11">
        <f>G30/E30</f>
        <v>0.14965986394557823</v>
      </c>
    </row>
    <row r="31" spans="2:9" x14ac:dyDescent="0.25">
      <c r="B31" s="2" t="s">
        <v>2</v>
      </c>
      <c r="C31" s="4">
        <v>1360</v>
      </c>
      <c r="D31" s="4"/>
      <c r="E31" s="4">
        <f t="shared" si="8"/>
        <v>1599.36</v>
      </c>
      <c r="F31" s="4"/>
      <c r="G31" s="8">
        <f t="shared" si="7"/>
        <v>239.3599999999999</v>
      </c>
      <c r="H31" s="8"/>
      <c r="I31" s="11">
        <f>G31/E31</f>
        <v>0.14965986394557818</v>
      </c>
    </row>
    <row r="32" spans="2:9" x14ac:dyDescent="0.25">
      <c r="B32" s="2" t="s">
        <v>8</v>
      </c>
      <c r="C32" s="4">
        <v>-500</v>
      </c>
      <c r="D32" s="4"/>
      <c r="E32" s="4">
        <v>0</v>
      </c>
      <c r="F32" s="4"/>
      <c r="G32" s="8">
        <f t="shared" si="7"/>
        <v>500</v>
      </c>
      <c r="H32" s="8"/>
      <c r="I32" s="11"/>
    </row>
    <row r="33" spans="2:9" x14ac:dyDescent="0.25">
      <c r="B33" s="2"/>
      <c r="C33" s="4"/>
      <c r="D33" s="4"/>
      <c r="E33" s="4"/>
      <c r="F33" s="4"/>
      <c r="G33" s="8"/>
      <c r="H33" s="8"/>
      <c r="I33" s="11"/>
    </row>
    <row r="34" spans="2:9" ht="15.75" thickBot="1" x14ac:dyDescent="0.3">
      <c r="B34" s="3"/>
      <c r="C34" s="4"/>
      <c r="D34" s="4"/>
      <c r="E34" s="6"/>
      <c r="F34" s="6"/>
      <c r="G34" s="8"/>
      <c r="H34" s="8"/>
      <c r="I34" s="11"/>
    </row>
    <row r="35" spans="2:9" ht="15.75" thickTop="1" x14ac:dyDescent="0.25">
      <c r="B35" s="3" t="s">
        <v>3</v>
      </c>
      <c r="C35" s="7">
        <f>SUM(C23:C34)</f>
        <v>21847</v>
      </c>
      <c r="D35" s="4"/>
      <c r="E35" s="7">
        <f>SUM(E23:E34)</f>
        <v>28153.671999999999</v>
      </c>
      <c r="F35" s="6"/>
      <c r="G35" s="7">
        <f>SUM(G23:G34)</f>
        <v>6306.6719999999978</v>
      </c>
      <c r="H35" s="6"/>
      <c r="I35" s="11">
        <f>G35/E35</f>
        <v>0.22400886108213514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14"/>
  <sheetViews>
    <sheetView workbookViewId="0">
      <selection activeCell="C17" sqref="C17"/>
    </sheetView>
  </sheetViews>
  <sheetFormatPr defaultRowHeight="15" x14ac:dyDescent="0.25"/>
  <cols>
    <col min="3" max="3" width="30.140625" customWidth="1"/>
    <col min="4" max="4" width="16" style="13" customWidth="1"/>
    <col min="6" max="7" width="10.5703125" bestFit="1" customWidth="1"/>
  </cols>
  <sheetData>
    <row r="4" spans="3:7" x14ac:dyDescent="0.25">
      <c r="C4" s="15" t="s">
        <v>17</v>
      </c>
    </row>
    <row r="6" spans="3:7" x14ac:dyDescent="0.25">
      <c r="C6" t="s">
        <v>23</v>
      </c>
      <c r="D6" s="13">
        <v>2850</v>
      </c>
      <c r="F6" s="13">
        <f>D6*0.4</f>
        <v>1140</v>
      </c>
    </row>
    <row r="7" spans="3:7" x14ac:dyDescent="0.25">
      <c r="C7" t="s">
        <v>18</v>
      </c>
      <c r="D7" s="13">
        <v>-720</v>
      </c>
    </row>
    <row r="8" spans="3:7" x14ac:dyDescent="0.25">
      <c r="C8" t="s">
        <v>19</v>
      </c>
      <c r="D8" s="13">
        <v>-712</v>
      </c>
    </row>
    <row r="9" spans="3:7" x14ac:dyDescent="0.25">
      <c r="C9" t="s">
        <v>22</v>
      </c>
      <c r="D9" s="13">
        <v>-500</v>
      </c>
    </row>
    <row r="10" spans="3:7" x14ac:dyDescent="0.25">
      <c r="C10" t="s">
        <v>21</v>
      </c>
      <c r="D10" s="13">
        <f>SUM(D6:D9)</f>
        <v>918</v>
      </c>
      <c r="G10" s="13"/>
    </row>
    <row r="14" spans="3:7" x14ac:dyDescent="0.25">
      <c r="G14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2016-10-19T23:06:47Z</dcterms:modified>
</cp:coreProperties>
</file>