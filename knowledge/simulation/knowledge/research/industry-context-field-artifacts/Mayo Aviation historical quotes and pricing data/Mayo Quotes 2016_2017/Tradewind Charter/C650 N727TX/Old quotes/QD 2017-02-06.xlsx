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/>
  <mc:AlternateContent xmlns:mc="http://schemas.openxmlformats.org/markup-compatibility/2006">
    <mc:Choice Requires="x15">
      <x15ac:absPath xmlns:x15ac="http://schemas.microsoft.com/office/spreadsheetml/2010/11/ac" url="M:\Maintenance\Mayo Quotes 2016_2017\Tradewind Charter\C650 N727TX\"/>
    </mc:Choice>
  </mc:AlternateContent>
  <bookViews>
    <workbookView xWindow="0" yWindow="0" windowWidth="20496" windowHeight="7536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O7" i="1" l="1"/>
  <c r="M6" i="1"/>
  <c r="M7" i="1" s="1"/>
  <c r="E9" i="1"/>
  <c r="E10" i="1"/>
  <c r="E11" i="1"/>
  <c r="E12" i="1"/>
  <c r="E15" i="1" l="1"/>
  <c r="C15" i="1" l="1"/>
  <c r="E17" i="1" l="1"/>
  <c r="G17" i="1" s="1"/>
  <c r="I17" i="1" s="1"/>
  <c r="G12" i="1"/>
  <c r="I12" i="1" s="1"/>
  <c r="G5" i="1" l="1"/>
  <c r="I5" i="1" s="1"/>
  <c r="G6" i="1"/>
  <c r="I6" i="1" s="1"/>
  <c r="G7" i="1"/>
  <c r="G8" i="1"/>
  <c r="I8" i="1" s="1"/>
  <c r="G9" i="1"/>
  <c r="I9" i="1" s="1"/>
  <c r="G10" i="1"/>
  <c r="I10" i="1" s="1"/>
  <c r="G11" i="1"/>
  <c r="I11" i="1" s="1"/>
  <c r="G4" i="1"/>
  <c r="I4" i="1" s="1"/>
  <c r="I7" i="1" l="1"/>
  <c r="G15" i="1"/>
  <c r="I15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$7650.00 if required</t>
        </r>
      </text>
    </comment>
  </commentList>
</comments>
</file>

<file path=xl/sharedStrings.xml><?xml version="1.0" encoding="utf-8"?>
<sst xmlns="http://schemas.openxmlformats.org/spreadsheetml/2006/main" count="14" uniqueCount="14">
  <si>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</si>
  <si>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</si>
  <si>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</si>
  <si>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</si>
  <si>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</si>
  <si>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</si>
  <si>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</si>
  <si>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</si>
  <si>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</si>
  <si>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New TDR-94 Transponders</t>
  </si>
  <si>
    <t>FreeFlight 1203C GPS SBAS/WAAS Sensor System with DO301 Antenna</t>
  </si>
  <si>
    <t>Installation 100Hrs</t>
  </si>
  <si>
    <t>CMD Flight STC</t>
  </si>
  <si>
    <t>CTL-92E Control head w/Flight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</si>
</sst>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3:O22"/>
  <sheetViews>
    <sheetView tabSelected="1" workbookViewId="0">
      <selection activeCell="I7" sqref="I7"/>
    </sheetView>
  </sheetViews>
  <sheetFormatPr defaultColWidth="9.109375" defaultRowHeight="14.4" x14ac:dyDescent="0.3"/>
  <cols>
    <col min="1" max="1" width="9.109375" style="4"/>
    <col min="2" max="2" width="31.44140625" style="4" customWidth="1"/>
    <col min="3" max="3" width="22.44140625" style="11" customWidth="1"/>
    <col min="4" max="4" width="2.109375" style="11" customWidth="1"/>
    <col min="5" max="5" width="20.5546875" style="11" customWidth="1"/>
    <col min="6" max="6" width="1.6640625" style="11" customWidth="1"/>
    <col min="7" max="7" width="18.88671875" style="11" customWidth="1"/>
    <col min="8" max="8" width="2" style="11" customWidth="1"/>
    <col min="9" max="9" width="11.88671875" style="11" bestFit="1" customWidth="1"/>
    <col min="10" max="16384" width="9.109375" style="4"/>
  </cols>
  <sheetData>
    <row r="3" spans="2:15" x14ac:dyDescent="0.3">
      <c r="B3" s="1"/>
      <c r="C3" s="2" t="s">
        <v>4</v>
      </c>
      <c r="D3" s="2"/>
      <c r="E3" s="3" t="s">
        <v>5</v>
      </c>
      <c r="F3" s="3"/>
      <c r="G3" s="2" t="s">
        <v>6</v>
      </c>
      <c r="H3" s="2"/>
      <c r="I3" s="2" t="s">
        <v>7</v>
      </c>
    </row>
    <row r="4" spans="2:15" x14ac:dyDescent="0.3">
      <c r="B4" s="5" t="s">
        <v>12</v>
      </c>
      <c r="C4" s="6">
        <v>15000</v>
      </c>
      <c r="D4" s="6"/>
      <c r="E4" s="6">
        <v>15000</v>
      </c>
      <c r="F4" s="6"/>
      <c r="G4" s="6">
        <f>E4-C4</f>
        <v>0</v>
      </c>
      <c r="H4" s="6"/>
      <c r="I4" s="7">
        <f>G4/E4</f>
        <v>0</v>
      </c>
      <c r="M4" s="4">
        <v>100</v>
      </c>
      <c r="O4" s="4">
        <v>6</v>
      </c>
    </row>
    <row r="5" spans="2:15" x14ac:dyDescent="0.3">
      <c r="B5" s="4" t="s">
        <v>9</v>
      </c>
      <c r="C5" s="6">
        <v>32280</v>
      </c>
      <c r="D5" s="6"/>
      <c r="E5" s="6">
        <f>C5*1.176</f>
        <v>37961.279999999999</v>
      </c>
      <c r="F5" s="6"/>
      <c r="G5" s="6">
        <f t="shared" ref="G5:G12" si="0">E5-C5</f>
        <v>5681.2799999999988</v>
      </c>
      <c r="H5" s="6"/>
      <c r="I5" s="7">
        <f t="shared" ref="I5:I12" si="1">G5/E5</f>
        <v>0.1496598639455782</v>
      </c>
      <c r="M5" s="4">
        <v>85</v>
      </c>
      <c r="O5" s="4">
        <v>75</v>
      </c>
    </row>
    <row r="6" spans="2:15" x14ac:dyDescent="0.3">
      <c r="B6" s="4" t="s">
        <v>13</v>
      </c>
      <c r="C6" s="6">
        <v>5835</v>
      </c>
      <c r="D6" s="6"/>
      <c r="E6" s="6">
        <f>C6*1.25</f>
        <v>7293.75</v>
      </c>
      <c r="F6" s="6"/>
      <c r="G6" s="6">
        <f t="shared" si="0"/>
        <v>1458.75</v>
      </c>
      <c r="H6" s="6"/>
      <c r="I6" s="7">
        <f t="shared" si="1"/>
        <v>0.2</v>
      </c>
      <c r="M6" s="4">
        <f>M4*M5</f>
        <v>8500</v>
      </c>
      <c r="O6" s="4">
        <v>8</v>
      </c>
    </row>
    <row r="7" spans="2:15" x14ac:dyDescent="0.3">
      <c r="B7" s="4" t="s">
        <v>10</v>
      </c>
      <c r="C7" s="6">
        <v>10781</v>
      </c>
      <c r="D7" s="6"/>
      <c r="E7" s="6">
        <f>C7*1.25</f>
        <v>13476.25</v>
      </c>
      <c r="F7" s="6"/>
      <c r="G7" s="6">
        <f t="shared" si="0"/>
        <v>2695.25</v>
      </c>
      <c r="H7" s="6"/>
      <c r="I7" s="7">
        <f t="shared" si="1"/>
        <v>0.2</v>
      </c>
      <c r="M7" s="4">
        <f>M6*0.05</f>
        <v>425</v>
      </c>
      <c r="O7" s="4">
        <f>O4*O5*O6</f>
        <v>3600</v>
      </c>
    </row>
    <row r="8" spans="2:15" x14ac:dyDescent="0.3">
      <c r="B8" s="4" t="s">
        <v>11</v>
      </c>
      <c r="C8" s="6">
        <v>4500</v>
      </c>
      <c r="D8" s="6"/>
      <c r="E8" s="6">
        <v>8500</v>
      </c>
      <c r="F8" s="6"/>
      <c r="G8" s="6">
        <f t="shared" si="0"/>
        <v>4000</v>
      </c>
      <c r="H8" s="6"/>
      <c r="I8" s="7">
        <f t="shared" si="1"/>
        <v>0.47058823529411764</v>
      </c>
    </row>
    <row r="9" spans="2:15" x14ac:dyDescent="0.3">
      <c r="B9" s="4" t="s">
        <v>0</v>
      </c>
      <c r="C9" s="6">
        <v>125</v>
      </c>
      <c r="D9" s="6"/>
      <c r="E9" s="6">
        <f t="shared" ref="E9:E12" si="2">C9*1.176</f>
        <v>147</v>
      </c>
      <c r="F9" s="6"/>
      <c r="G9" s="6">
        <f t="shared" si="0"/>
        <v>22</v>
      </c>
      <c r="H9" s="6"/>
      <c r="I9" s="7">
        <f t="shared" si="1"/>
        <v>0.14965986394557823</v>
      </c>
    </row>
    <row r="10" spans="2:15" x14ac:dyDescent="0.3">
      <c r="B10" s="4" t="s">
        <v>1</v>
      </c>
      <c r="C10" s="6">
        <v>425</v>
      </c>
      <c r="D10" s="6"/>
      <c r="E10" s="6">
        <f t="shared" si="2"/>
        <v>499.79999999999995</v>
      </c>
      <c r="F10" s="6"/>
      <c r="G10" s="6">
        <f t="shared" si="0"/>
        <v>74.799999999999955</v>
      </c>
      <c r="H10" s="6"/>
      <c r="I10" s="7">
        <f t="shared" si="1"/>
        <v>0.14965986394557815</v>
      </c>
    </row>
    <row r="11" spans="2:15" x14ac:dyDescent="0.3">
      <c r="B11" s="4" t="s">
        <v>2</v>
      </c>
      <c r="C11" s="6">
        <v>3600</v>
      </c>
      <c r="D11" s="6"/>
      <c r="E11" s="6">
        <f t="shared" si="2"/>
        <v>4233.5999999999995</v>
      </c>
      <c r="F11" s="6"/>
      <c r="G11" s="6">
        <f t="shared" si="0"/>
        <v>633.59999999999945</v>
      </c>
      <c r="H11" s="6"/>
      <c r="I11" s="7">
        <f t="shared" si="1"/>
        <v>0.14965986394557812</v>
      </c>
    </row>
    <row r="12" spans="2:15" x14ac:dyDescent="0.3">
      <c r="B12" s="4" t="s">
        <v>8</v>
      </c>
      <c r="C12" s="6">
        <v>0</v>
      </c>
      <c r="D12" s="6"/>
      <c r="E12" s="6">
        <f t="shared" si="2"/>
        <v>0</v>
      </c>
      <c r="F12" s="6"/>
      <c r="G12" s="6">
        <f t="shared" si="0"/>
        <v>0</v>
      </c>
      <c r="H12" s="6"/>
      <c r="I12" s="7" t="e">
        <f t="shared" si="1"/>
        <v>#DIV/0!</v>
      </c>
    </row>
    <row r="13" spans="2:15" x14ac:dyDescent="0.3">
      <c r="C13" s="6"/>
      <c r="D13" s="6"/>
      <c r="E13" s="6"/>
      <c r="F13" s="6"/>
      <c r="G13" s="6"/>
      <c r="H13" s="6"/>
      <c r="I13" s="7"/>
    </row>
    <row r="14" spans="2:15" ht="15" thickBot="1" x14ac:dyDescent="0.35">
      <c r="B14" s="8"/>
      <c r="C14" s="6"/>
      <c r="D14" s="6"/>
      <c r="E14" s="9"/>
      <c r="F14" s="9"/>
      <c r="G14" s="6"/>
      <c r="H14" s="6"/>
      <c r="I14" s="7"/>
    </row>
    <row r="15" spans="2:15" ht="15" thickTop="1" x14ac:dyDescent="0.3">
      <c r="B15" s="8" t="s">
        <v>3</v>
      </c>
      <c r="C15" s="10">
        <f>SUM(C4:C14)</f>
        <v>72546</v>
      </c>
      <c r="D15" s="6"/>
      <c r="E15" s="10">
        <f>SUM(E4:E14)</f>
        <v>87111.680000000008</v>
      </c>
      <c r="F15" s="9"/>
      <c r="G15" s="10">
        <f>SUM(G4:G14)</f>
        <v>14565.679999999997</v>
      </c>
      <c r="H15" s="9"/>
      <c r="I15" s="7">
        <f>G15/E15</f>
        <v>0.16720696926060885</v>
      </c>
    </row>
    <row r="16" spans="2:15" x14ac:dyDescent="0.3">
      <c r="E16" s="6">
        <v>-1250</v>
      </c>
      <c r="I16" s="7"/>
      <c r="J16" s="12"/>
    </row>
    <row r="17" spans="5:9" x14ac:dyDescent="0.3">
      <c r="E17" s="6">
        <f>E15+E16</f>
        <v>85861.680000000008</v>
      </c>
      <c r="G17" s="6">
        <f>E17-C15</f>
        <v>13315.680000000008</v>
      </c>
      <c r="I17" s="7">
        <f>G17/E17</f>
        <v>0.15508291941177957</v>
      </c>
    </row>
    <row r="18" spans="5:9" x14ac:dyDescent="0.3">
      <c r="I18" s="7"/>
    </row>
    <row r="19" spans="5:9" x14ac:dyDescent="0.3">
      <c r="I19" s="7"/>
    </row>
    <row r="20" spans="5:9" x14ac:dyDescent="0.3">
      <c r="I20" s="7"/>
    </row>
    <row r="21" spans="5:9" x14ac:dyDescent="0.3">
      <c r="I21" s="7"/>
    </row>
    <row r="22" spans="5:9" x14ac:dyDescent="0.3">
      <c r="I22" s="7"/>
    </row>
  </sheetData>
  <pageMargins left="0" right="0" top="0" bottom="0" header="0" footer="0"/>
  <pageSetup scale="77" orientation="landscape" horizontalDpi="4294967294" verticalDpi="4294967294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James Bohart</cp:lastModifiedBy>
  <cp:lastPrinted>2017-07-21T12:58:35Z</cp:lastPrinted>
  <dcterms:created xsi:type="dcterms:W3CDTF">2016-10-06T22:22:22Z</dcterms:created>
  <dcterms:modified xsi:type="dcterms:W3CDTF">2017-07-21T12:58:41Z</dcterms:modified>
</cp:coreProperties>
</file>