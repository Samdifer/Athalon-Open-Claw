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M:\Maintenance\Mayo Quotes 2016_2017\Tradewind Charter\C650 N362TW\"/>
    </mc:Choice>
  </mc:AlternateContent>
  <bookViews>
    <workbookView xWindow="0" yWindow="0" windowWidth="20496" windowHeight="7536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G18" i="1" s="1"/>
  <c r="I18" i="1" s="1"/>
  <c r="G17" i="1"/>
  <c r="I17" i="1" s="1"/>
  <c r="E17" i="1"/>
  <c r="E16" i="1"/>
  <c r="G16" i="1" s="1"/>
  <c r="I16" i="1" s="1"/>
  <c r="E15" i="1"/>
  <c r="G15" i="1" s="1"/>
  <c r="I15" i="1" s="1"/>
  <c r="E14" i="1"/>
  <c r="G14" i="1" s="1"/>
  <c r="I14" i="1" s="1"/>
  <c r="E13" i="1"/>
  <c r="G13" i="1" s="1"/>
  <c r="I13" i="1" s="1"/>
  <c r="E12" i="1"/>
  <c r="G12" i="1"/>
  <c r="I12" i="1" s="1"/>
  <c r="O7" i="1" l="1"/>
  <c r="M6" i="1"/>
  <c r="M8" i="1" s="1"/>
  <c r="I6" i="1"/>
  <c r="I7" i="1"/>
  <c r="I8" i="1"/>
  <c r="I9" i="1"/>
  <c r="I10" i="1"/>
  <c r="I11" i="1"/>
  <c r="G6" i="1"/>
  <c r="E6" i="1"/>
  <c r="E7" i="1"/>
  <c r="G7" i="1" s="1"/>
  <c r="E8" i="1"/>
  <c r="G8" i="1" s="1"/>
  <c r="E9" i="1"/>
  <c r="G9" i="1" s="1"/>
  <c r="E10" i="1"/>
  <c r="G10" i="1" s="1"/>
  <c r="E11" i="1"/>
  <c r="G11" i="1" s="1"/>
  <c r="E5" i="1" l="1"/>
  <c r="E20" i="1" l="1"/>
  <c r="E21" i="1"/>
  <c r="E22" i="1"/>
  <c r="E23" i="1"/>
  <c r="E26" i="1" l="1"/>
  <c r="C26" i="1" l="1"/>
  <c r="E28" i="1" l="1"/>
  <c r="G28" i="1" s="1"/>
  <c r="I28" i="1" s="1"/>
  <c r="G23" i="1"/>
  <c r="I23" i="1" s="1"/>
  <c r="G5" i="1" l="1"/>
  <c r="I5" i="1" s="1"/>
  <c r="G19" i="1"/>
  <c r="I19" i="1" s="1"/>
  <c r="G20" i="1"/>
  <c r="I20" i="1" s="1"/>
  <c r="G21" i="1"/>
  <c r="I21" i="1" s="1"/>
  <c r="G22" i="1"/>
  <c r="I22" i="1" s="1"/>
  <c r="G4" i="1"/>
  <c r="I4" i="1" s="1"/>
  <c r="G26" i="1" l="1"/>
  <c r="I26" i="1" s="1"/>
</calcChain>
</file>

<file path=xl/sharedStrings.xml><?xml version="1.0" encoding="utf-8"?>
<sst xmlns="http://schemas.openxmlformats.org/spreadsheetml/2006/main" count="25" uniqueCount="21">
  <si>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</si>
  <si>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</si>
  <si>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</si>
  <si>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</si>
  <si>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</si>
  <si>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</si>
  <si>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</si>
  <si>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</si>
  <si>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</si>
  <si>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Columbia Av STC</t>
  </si>
  <si>
    <t>GTX 3000 Transponder #1</t>
  </si>
  <si>
    <t>Mounting Rack</t>
  </si>
  <si>
    <t>Connector Kit</t>
  </si>
  <si>
    <t>SD Datacard</t>
  </si>
  <si>
    <t>GA 35 GPS/WAAS antenna</t>
  </si>
  <si>
    <t>16 Watt Comm Enablement</t>
  </si>
  <si>
    <t>GTN 650 MFD/GPS/Comm #1 (Gray)</t>
  </si>
  <si>
    <t>GTX 3000 Transponder #2</t>
  </si>
  <si>
    <t>GTN 650 MFD/GPS/Comm #2 (Gray)</t>
  </si>
  <si>
    <t>GAD 42 Adapter</t>
  </si>
  <si>
    <t>Installation 300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</si>
</sst>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O33"/>
  <sheetViews>
    <sheetView tabSelected="1" topLeftCell="A2" workbookViewId="0">
      <selection activeCell="C10" sqref="C10"/>
    </sheetView>
  </sheetViews>
  <sheetFormatPr defaultColWidth="9.109375" defaultRowHeight="14.4" x14ac:dyDescent="0.3"/>
  <cols>
    <col min="1" max="1" width="9.109375" style="4"/>
    <col min="2" max="2" width="31.44140625" style="4" customWidth="1"/>
    <col min="3" max="3" width="22.44140625" style="11" customWidth="1"/>
    <col min="4" max="4" width="2.109375" style="11" customWidth="1"/>
    <col min="5" max="5" width="20.5546875" style="11" customWidth="1"/>
    <col min="6" max="6" width="1.6640625" style="11" customWidth="1"/>
    <col min="7" max="7" width="18.88671875" style="11" customWidth="1"/>
    <col min="8" max="8" width="2" style="11" customWidth="1"/>
    <col min="9" max="9" width="11.88671875" style="11" bestFit="1" customWidth="1"/>
    <col min="10" max="16384" width="9.109375" style="4"/>
  </cols>
  <sheetData>
    <row r="3" spans="2:15" x14ac:dyDescent="0.3">
      <c r="B3" s="1"/>
      <c r="C3" s="2" t="s">
        <v>4</v>
      </c>
      <c r="D3" s="2"/>
      <c r="E3" s="3" t="s">
        <v>5</v>
      </c>
      <c r="F3" s="3"/>
      <c r="G3" s="2" t="s">
        <v>6</v>
      </c>
      <c r="H3" s="2"/>
      <c r="I3" s="2" t="s">
        <v>7</v>
      </c>
    </row>
    <row r="4" spans="2:15" x14ac:dyDescent="0.3">
      <c r="B4" s="5" t="s">
        <v>9</v>
      </c>
      <c r="C4" s="6">
        <v>12500</v>
      </c>
      <c r="D4" s="6"/>
      <c r="E4" s="6">
        <v>12500</v>
      </c>
      <c r="F4" s="6"/>
      <c r="G4" s="6">
        <f>E4-C4</f>
        <v>0</v>
      </c>
      <c r="H4" s="6"/>
      <c r="I4" s="7">
        <f>G4/E4</f>
        <v>0</v>
      </c>
      <c r="M4" s="4">
        <v>300</v>
      </c>
      <c r="O4" s="4">
        <v>12</v>
      </c>
    </row>
    <row r="5" spans="2:15" x14ac:dyDescent="0.3">
      <c r="B5" s="4" t="s">
        <v>10</v>
      </c>
      <c r="C5" s="6">
        <v>18170</v>
      </c>
      <c r="D5" s="6"/>
      <c r="E5" s="6">
        <f>C5*1.176</f>
        <v>21367.919999999998</v>
      </c>
      <c r="F5" s="6"/>
      <c r="G5" s="6">
        <f t="shared" ref="G5:G23" si="0">E5-C5</f>
        <v>3197.9199999999983</v>
      </c>
      <c r="H5" s="6"/>
      <c r="I5" s="7">
        <f t="shared" ref="I5:I23" si="1">G5/E5</f>
        <v>0.14965986394557818</v>
      </c>
      <c r="M5" s="4">
        <v>85</v>
      </c>
      <c r="O5" s="4">
        <v>85</v>
      </c>
    </row>
    <row r="6" spans="2:15" x14ac:dyDescent="0.3">
      <c r="B6" s="4" t="s">
        <v>11</v>
      </c>
      <c r="C6" s="6">
        <v>268</v>
      </c>
      <c r="D6" s="6"/>
      <c r="E6" s="6">
        <f t="shared" ref="E6:E14" si="2">C6*1.176</f>
        <v>315.16800000000001</v>
      </c>
      <c r="F6" s="6"/>
      <c r="G6" s="6">
        <f t="shared" si="0"/>
        <v>47.168000000000006</v>
      </c>
      <c r="H6" s="6"/>
      <c r="I6" s="7">
        <f t="shared" si="1"/>
        <v>0.14965986394557826</v>
      </c>
      <c r="M6" s="4">
        <f>M4*M5</f>
        <v>25500</v>
      </c>
      <c r="O6" s="4">
        <v>4</v>
      </c>
    </row>
    <row r="7" spans="2:15" x14ac:dyDescent="0.3">
      <c r="B7" s="4" t="s">
        <v>12</v>
      </c>
      <c r="C7" s="6">
        <v>431</v>
      </c>
      <c r="D7" s="6"/>
      <c r="E7" s="6">
        <f t="shared" si="2"/>
        <v>506.85599999999999</v>
      </c>
      <c r="F7" s="6"/>
      <c r="G7" s="6">
        <f t="shared" si="0"/>
        <v>75.855999999999995</v>
      </c>
      <c r="H7" s="6"/>
      <c r="I7" s="7">
        <f t="shared" si="1"/>
        <v>0.14965986394557823</v>
      </c>
      <c r="O7" s="4">
        <f>O4*O5*O6</f>
        <v>4080</v>
      </c>
    </row>
    <row r="8" spans="2:15" x14ac:dyDescent="0.3">
      <c r="B8" s="4" t="s">
        <v>17</v>
      </c>
      <c r="C8" s="6">
        <v>18170</v>
      </c>
      <c r="D8" s="6"/>
      <c r="E8" s="6">
        <f t="shared" si="2"/>
        <v>21367.919999999998</v>
      </c>
      <c r="F8" s="6"/>
      <c r="G8" s="6">
        <f t="shared" si="0"/>
        <v>3197.9199999999983</v>
      </c>
      <c r="H8" s="6"/>
      <c r="I8" s="7">
        <f t="shared" si="1"/>
        <v>0.14965986394557818</v>
      </c>
      <c r="M8" s="4">
        <f>M6*0.05</f>
        <v>1275</v>
      </c>
    </row>
    <row r="9" spans="2:15" x14ac:dyDescent="0.3">
      <c r="B9" s="4" t="s">
        <v>11</v>
      </c>
      <c r="C9" s="6">
        <v>268</v>
      </c>
      <c r="D9" s="6"/>
      <c r="E9" s="6">
        <f t="shared" si="2"/>
        <v>315.16800000000001</v>
      </c>
      <c r="F9" s="6"/>
      <c r="G9" s="6">
        <f t="shared" si="0"/>
        <v>47.168000000000006</v>
      </c>
      <c r="H9" s="6"/>
      <c r="I9" s="7">
        <f t="shared" si="1"/>
        <v>0.14965986394557826</v>
      </c>
    </row>
    <row r="10" spans="2:15" x14ac:dyDescent="0.3">
      <c r="B10" s="4" t="s">
        <v>12</v>
      </c>
      <c r="C10" s="6">
        <v>431</v>
      </c>
      <c r="D10" s="6"/>
      <c r="E10" s="6">
        <f t="shared" si="2"/>
        <v>506.85599999999999</v>
      </c>
      <c r="F10" s="6"/>
      <c r="G10" s="6">
        <f t="shared" si="0"/>
        <v>75.855999999999995</v>
      </c>
      <c r="H10" s="6"/>
      <c r="I10" s="7">
        <f t="shared" si="1"/>
        <v>0.14965986394557823</v>
      </c>
    </row>
    <row r="11" spans="2:15" x14ac:dyDescent="0.3">
      <c r="B11" s="4" t="s">
        <v>16</v>
      </c>
      <c r="C11" s="6">
        <v>8620</v>
      </c>
      <c r="D11" s="6"/>
      <c r="E11" s="6">
        <f t="shared" si="2"/>
        <v>10137.119999999999</v>
      </c>
      <c r="F11" s="6"/>
      <c r="G11" s="6">
        <f t="shared" si="0"/>
        <v>1517.119999999999</v>
      </c>
      <c r="H11" s="6"/>
      <c r="I11" s="7">
        <f t="shared" si="1"/>
        <v>0.14965986394557815</v>
      </c>
    </row>
    <row r="12" spans="2:15" x14ac:dyDescent="0.3">
      <c r="B12" s="4" t="s">
        <v>13</v>
      </c>
      <c r="C12" s="6">
        <v>420</v>
      </c>
      <c r="D12" s="6"/>
      <c r="E12" s="6">
        <f t="shared" si="2"/>
        <v>493.91999999999996</v>
      </c>
      <c r="F12" s="6"/>
      <c r="G12" s="6">
        <f t="shared" si="0"/>
        <v>73.919999999999959</v>
      </c>
      <c r="H12" s="6"/>
      <c r="I12" s="7">
        <f t="shared" si="1"/>
        <v>0.14965986394557815</v>
      </c>
    </row>
    <row r="13" spans="2:15" x14ac:dyDescent="0.3">
      <c r="B13" s="4" t="s">
        <v>14</v>
      </c>
      <c r="C13" s="6">
        <v>265</v>
      </c>
      <c r="D13" s="6"/>
      <c r="E13" s="6">
        <f t="shared" si="2"/>
        <v>311.64</v>
      </c>
      <c r="F13" s="6"/>
      <c r="G13" s="6">
        <f t="shared" si="0"/>
        <v>46.639999999999986</v>
      </c>
      <c r="H13" s="6"/>
      <c r="I13" s="7">
        <f t="shared" si="1"/>
        <v>0.1496598639455782</v>
      </c>
    </row>
    <row r="14" spans="2:15" x14ac:dyDescent="0.3">
      <c r="B14" s="4" t="s">
        <v>15</v>
      </c>
      <c r="C14" s="6">
        <v>3746</v>
      </c>
      <c r="D14" s="6"/>
      <c r="E14" s="6">
        <f t="shared" si="2"/>
        <v>4405.2959999999994</v>
      </c>
      <c r="F14" s="6"/>
      <c r="G14" s="6">
        <f t="shared" si="0"/>
        <v>659.29599999999937</v>
      </c>
      <c r="H14" s="6"/>
      <c r="I14" s="7">
        <f t="shared" si="1"/>
        <v>0.14965986394557812</v>
      </c>
    </row>
    <row r="15" spans="2:15" x14ac:dyDescent="0.3">
      <c r="B15" s="4" t="s">
        <v>18</v>
      </c>
      <c r="C15" s="6">
        <v>8620</v>
      </c>
      <c r="D15" s="6"/>
      <c r="E15" s="6">
        <f t="shared" ref="E15:E18" si="3">C15*1.176</f>
        <v>10137.119999999999</v>
      </c>
      <c r="F15" s="6"/>
      <c r="G15" s="6">
        <f t="shared" ref="G15:G18" si="4">E15-C15</f>
        <v>1517.119999999999</v>
      </c>
      <c r="H15" s="6"/>
      <c r="I15" s="7">
        <f t="shared" ref="I15:I18" si="5">G15/E15</f>
        <v>0.14965986394557815</v>
      </c>
    </row>
    <row r="16" spans="2:15" x14ac:dyDescent="0.3">
      <c r="B16" s="4" t="s">
        <v>13</v>
      </c>
      <c r="C16" s="6">
        <v>420</v>
      </c>
      <c r="D16" s="6"/>
      <c r="E16" s="6">
        <f t="shared" si="3"/>
        <v>493.91999999999996</v>
      </c>
      <c r="F16" s="6"/>
      <c r="G16" s="6">
        <f t="shared" si="4"/>
        <v>73.919999999999959</v>
      </c>
      <c r="H16" s="6"/>
      <c r="I16" s="7">
        <f t="shared" si="5"/>
        <v>0.14965986394557815</v>
      </c>
    </row>
    <row r="17" spans="2:10" x14ac:dyDescent="0.3">
      <c r="B17" s="4" t="s">
        <v>14</v>
      </c>
      <c r="C17" s="6">
        <v>265</v>
      </c>
      <c r="D17" s="6"/>
      <c r="E17" s="6">
        <f t="shared" si="3"/>
        <v>311.64</v>
      </c>
      <c r="F17" s="6"/>
      <c r="G17" s="6">
        <f t="shared" si="4"/>
        <v>46.639999999999986</v>
      </c>
      <c r="H17" s="6"/>
      <c r="I17" s="7">
        <f t="shared" si="5"/>
        <v>0.1496598639455782</v>
      </c>
    </row>
    <row r="18" spans="2:10" x14ac:dyDescent="0.3">
      <c r="B18" s="4" t="s">
        <v>19</v>
      </c>
      <c r="C18" s="6">
        <v>2622</v>
      </c>
      <c r="D18" s="6"/>
      <c r="E18" s="6">
        <f t="shared" si="3"/>
        <v>3083.4719999999998</v>
      </c>
      <c r="F18" s="6"/>
      <c r="G18" s="6">
        <f t="shared" si="4"/>
        <v>461.47199999999975</v>
      </c>
      <c r="H18" s="6"/>
      <c r="I18" s="7">
        <f t="shared" si="5"/>
        <v>0.14965986394557818</v>
      </c>
    </row>
    <row r="19" spans="2:10" x14ac:dyDescent="0.3">
      <c r="B19" s="4" t="s">
        <v>20</v>
      </c>
      <c r="C19" s="6">
        <v>13500</v>
      </c>
      <c r="D19" s="6"/>
      <c r="E19" s="6">
        <v>25500</v>
      </c>
      <c r="F19" s="6"/>
      <c r="G19" s="6">
        <f t="shared" si="0"/>
        <v>12000</v>
      </c>
      <c r="H19" s="6"/>
      <c r="I19" s="7">
        <f t="shared" si="1"/>
        <v>0.47058823529411764</v>
      </c>
    </row>
    <row r="20" spans="2:10" x14ac:dyDescent="0.3">
      <c r="B20" s="4" t="s">
        <v>0</v>
      </c>
      <c r="C20" s="6">
        <v>250</v>
      </c>
      <c r="D20" s="6"/>
      <c r="E20" s="6">
        <f t="shared" ref="E20:E23" si="6">C20*1.176</f>
        <v>294</v>
      </c>
      <c r="F20" s="6"/>
      <c r="G20" s="6">
        <f t="shared" si="0"/>
        <v>44</v>
      </c>
      <c r="H20" s="6"/>
      <c r="I20" s="7">
        <f t="shared" si="1"/>
        <v>0.14965986394557823</v>
      </c>
    </row>
    <row r="21" spans="2:10" x14ac:dyDescent="0.3">
      <c r="B21" s="4" t="s">
        <v>1</v>
      </c>
      <c r="C21" s="6">
        <v>1000</v>
      </c>
      <c r="D21" s="6"/>
      <c r="E21" s="6">
        <f t="shared" si="6"/>
        <v>1176</v>
      </c>
      <c r="F21" s="6"/>
      <c r="G21" s="6">
        <f t="shared" si="0"/>
        <v>176</v>
      </c>
      <c r="H21" s="6"/>
      <c r="I21" s="7">
        <f t="shared" si="1"/>
        <v>0.14965986394557823</v>
      </c>
    </row>
    <row r="22" spans="2:10" x14ac:dyDescent="0.3">
      <c r="B22" s="4" t="s">
        <v>2</v>
      </c>
      <c r="C22" s="6">
        <v>4000</v>
      </c>
      <c r="D22" s="6"/>
      <c r="E22" s="6">
        <f t="shared" si="6"/>
        <v>4704</v>
      </c>
      <c r="F22" s="6"/>
      <c r="G22" s="6">
        <f t="shared" si="0"/>
        <v>704</v>
      </c>
      <c r="H22" s="6"/>
      <c r="I22" s="7">
        <f t="shared" si="1"/>
        <v>0.14965986394557823</v>
      </c>
    </row>
    <row r="23" spans="2:10" x14ac:dyDescent="0.3">
      <c r="B23" s="4" t="s">
        <v>8</v>
      </c>
      <c r="C23" s="6">
        <v>0</v>
      </c>
      <c r="D23" s="6"/>
      <c r="E23" s="6">
        <f t="shared" si="6"/>
        <v>0</v>
      </c>
      <c r="F23" s="6"/>
      <c r="G23" s="6">
        <f t="shared" si="0"/>
        <v>0</v>
      </c>
      <c r="H23" s="6"/>
      <c r="I23" s="7" t="e">
        <f t="shared" si="1"/>
        <v>#DIV/0!</v>
      </c>
    </row>
    <row r="24" spans="2:10" x14ac:dyDescent="0.3">
      <c r="C24" s="6"/>
      <c r="D24" s="6"/>
      <c r="E24" s="6"/>
      <c r="F24" s="6"/>
      <c r="G24" s="6"/>
      <c r="H24" s="6"/>
      <c r="I24" s="7"/>
    </row>
    <row r="25" spans="2:10" ht="15" thickBot="1" x14ac:dyDescent="0.35">
      <c r="B25" s="8"/>
      <c r="C25" s="6"/>
      <c r="D25" s="6"/>
      <c r="E25" s="9"/>
      <c r="F25" s="9"/>
      <c r="G25" s="6"/>
      <c r="H25" s="6"/>
      <c r="I25" s="7"/>
    </row>
    <row r="26" spans="2:10" ht="15" thickTop="1" x14ac:dyDescent="0.3">
      <c r="B26" s="8" t="s">
        <v>3</v>
      </c>
      <c r="C26" s="10">
        <f>SUM(C4:C25)</f>
        <v>93966</v>
      </c>
      <c r="D26" s="6"/>
      <c r="E26" s="10">
        <f>SUM(E4:E25)</f>
        <v>117928.01599999997</v>
      </c>
      <c r="F26" s="9"/>
      <c r="G26" s="10">
        <f>SUM(G4:G25)</f>
        <v>23962.015999999992</v>
      </c>
      <c r="H26" s="9"/>
      <c r="I26" s="7">
        <f>G26/E26</f>
        <v>0.20319188614179684</v>
      </c>
    </row>
    <row r="27" spans="2:10" x14ac:dyDescent="0.3">
      <c r="E27" s="6">
        <v>-1250</v>
      </c>
      <c r="I27" s="7"/>
      <c r="J27" s="12"/>
    </row>
    <row r="28" spans="2:10" x14ac:dyDescent="0.3">
      <c r="E28" s="6">
        <f>E26+E27</f>
        <v>116678.01599999997</v>
      </c>
      <c r="G28" s="6">
        <f>E28-C26</f>
        <v>22712.015999999974</v>
      </c>
      <c r="I28" s="7">
        <f>G28/E28</f>
        <v>0.19465548677138955</v>
      </c>
    </row>
    <row r="29" spans="2:10" x14ac:dyDescent="0.3">
      <c r="I29" s="7"/>
    </row>
    <row r="30" spans="2:10" x14ac:dyDescent="0.3">
      <c r="I30" s="7"/>
    </row>
    <row r="31" spans="2:10" x14ac:dyDescent="0.3">
      <c r="I31" s="7"/>
    </row>
    <row r="32" spans="2:10" x14ac:dyDescent="0.3">
      <c r="I32" s="7"/>
    </row>
    <row r="33" spans="9:9" x14ac:dyDescent="0.3">
      <c r="I33" s="7"/>
    </row>
  </sheetData>
  <pageMargins left="0" right="0" top="0.25" bottom="0.25" header="0.3" footer="0"/>
  <pageSetup scale="77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James Bohart</cp:lastModifiedBy>
  <cp:lastPrinted>2017-07-21T12:40:03Z</cp:lastPrinted>
  <dcterms:created xsi:type="dcterms:W3CDTF">2016-10-06T22:22:22Z</dcterms:created>
  <dcterms:modified xsi:type="dcterms:W3CDTF">2017-07-21T12:40:08Z</dcterms:modified>
</cp:coreProperties>
</file>