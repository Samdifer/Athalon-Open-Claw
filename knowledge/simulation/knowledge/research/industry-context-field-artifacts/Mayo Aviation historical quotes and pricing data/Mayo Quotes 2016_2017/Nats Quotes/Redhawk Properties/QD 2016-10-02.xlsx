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arpN\Desktop\Avionics Quotes\Redhawk Properties\"/>
    </mc:Choice>
  </mc:AlternateContent>
  <bookViews>
    <workbookView xWindow="0" yWindow="0" windowWidth="20490" windowHeight="753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6" i="1" l="1"/>
  <c r="K7" i="1"/>
  <c r="E7" i="1"/>
  <c r="E8" i="1"/>
  <c r="E9" i="1"/>
  <c r="E10" i="1"/>
  <c r="E5" i="1"/>
  <c r="G10" i="1" l="1"/>
  <c r="G5" i="1" l="1"/>
  <c r="I5" i="1" s="1"/>
  <c r="G6" i="1"/>
  <c r="I6" i="1" s="1"/>
  <c r="G7" i="1"/>
  <c r="I7" i="1" s="1"/>
  <c r="G8" i="1"/>
  <c r="I8" i="1" s="1"/>
  <c r="G9" i="1"/>
  <c r="I9" i="1" s="1"/>
  <c r="G4" i="1"/>
  <c r="I4" i="1" s="1"/>
  <c r="C13" i="1"/>
  <c r="E13" i="1"/>
  <c r="G13" i="1" l="1"/>
  <c r="I13" i="1" s="1"/>
</calcChain>
</file>

<file path=xl/sharedStrings.xml><?xml version="1.0" encoding="utf-8"?>
<sst xmlns="http://schemas.openxmlformats.org/spreadsheetml/2006/main" count="14" uniqueCount="14">
  <si>
    <t>Supplemental Type Certificate(s)</t>
  </si>
  <si>
    <t>Freight</t>
  </si>
  <si>
    <t>Consumables</t>
  </si>
  <si>
    <t>Engineering</t>
  </si>
  <si>
    <t>Total</t>
  </si>
  <si>
    <t>Cost</t>
  </si>
  <si>
    <t>Sell</t>
  </si>
  <si>
    <t>Gross Margin</t>
  </si>
  <si>
    <t>%</t>
  </si>
  <si>
    <t>Used Equip Margin</t>
  </si>
  <si>
    <t>Upgrade TDR-94D Transponders</t>
  </si>
  <si>
    <t>Drawings</t>
  </si>
  <si>
    <t>Installation 60 Hrs</t>
  </si>
  <si>
    <t>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</si>
</sst>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0.000"/>
  </numFmts>
  <fonts count="3" x14ac:knownFonts="1">
    <font>
      <sz val="11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44" fontId="2" fillId="0" borderId="0" xfId="0" applyNumberFormat="1" applyFont="1" applyAlignment="1">
      <alignment horizontal="left" indent="1"/>
    </xf>
    <xf numFmtId="0" fontId="0" fillId="0" borderId="0" xfId="0" applyAlignment="1">
      <alignment horizontal="left" indent="1"/>
    </xf>
    <xf numFmtId="44" fontId="2" fillId="0" borderId="0" xfId="0" applyNumberFormat="1" applyFont="1" applyBorder="1" applyAlignment="1">
      <alignment horizontal="left" indent="1"/>
    </xf>
    <xf numFmtId="44" fontId="2" fillId="0" borderId="1" xfId="0" applyNumberFormat="1" applyFont="1" applyBorder="1" applyAlignment="1">
      <alignment horizontal="left" indent="1"/>
    </xf>
    <xf numFmtId="44" fontId="0" fillId="0" borderId="0" xfId="0" applyNumberFormat="1" applyAlignment="1">
      <alignment horizontal="left" indent="1"/>
    </xf>
    <xf numFmtId="0" fontId="1" fillId="0" borderId="0" xfId="0" applyFont="1" applyAlignment="1">
      <alignment horizontal="right" indent="1"/>
    </xf>
    <xf numFmtId="44" fontId="1" fillId="0" borderId="0" xfId="0" applyNumberFormat="1" applyFont="1" applyAlignment="1">
      <alignment horizontal="right" indent="1"/>
    </xf>
    <xf numFmtId="164" fontId="0" fillId="0" borderId="0" xfId="0" applyNumberFormat="1" applyAlignment="1">
      <alignment horizontal="right" indent="1"/>
    </xf>
    <xf numFmtId="0" fontId="0" fillId="0" borderId="0" xfId="0" applyAlignment="1">
      <alignment horizontal="right" indent="1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18"/>
  <sheetViews>
    <sheetView tabSelected="1" topLeftCell="B1" workbookViewId="0">
      <selection activeCell="M8" sqref="M8"/>
    </sheetView>
  </sheetViews>
  <sheetFormatPr defaultRowHeight="15" x14ac:dyDescent="0.25"/>
  <cols>
    <col min="2" max="2" width="31.42578125" customWidth="1"/>
    <col min="3" max="3" width="22.42578125" style="6" customWidth="1"/>
    <col min="4" max="4" width="2.140625" style="6" customWidth="1"/>
    <col min="5" max="5" width="20.5703125" style="6" customWidth="1"/>
    <col min="6" max="6" width="1.7109375" style="6" customWidth="1"/>
    <col min="7" max="7" width="18.85546875" style="6" customWidth="1"/>
    <col min="8" max="8" width="2" style="6" customWidth="1"/>
    <col min="9" max="9" width="9.140625" style="13"/>
  </cols>
  <sheetData>
    <row r="3" spans="2:14" x14ac:dyDescent="0.25">
      <c r="B3" s="1"/>
      <c r="C3" s="10" t="s">
        <v>5</v>
      </c>
      <c r="D3" s="10"/>
      <c r="E3" s="11" t="s">
        <v>6</v>
      </c>
      <c r="F3" s="11"/>
      <c r="G3" s="10" t="s">
        <v>7</v>
      </c>
      <c r="H3" s="10"/>
      <c r="I3" s="10" t="s">
        <v>8</v>
      </c>
    </row>
    <row r="4" spans="2:14" x14ac:dyDescent="0.25">
      <c r="B4" s="2" t="s">
        <v>0</v>
      </c>
      <c r="C4" s="5">
        <v>15000</v>
      </c>
      <c r="D4" s="5"/>
      <c r="E4" s="5">
        <v>15000</v>
      </c>
      <c r="F4" s="5"/>
      <c r="G4" s="9">
        <f>E4-C4</f>
        <v>0</v>
      </c>
      <c r="H4" s="9"/>
      <c r="I4" s="12">
        <f>G4/E4</f>
        <v>0</v>
      </c>
      <c r="K4">
        <v>3</v>
      </c>
      <c r="L4" t="s">
        <v>11</v>
      </c>
      <c r="M4">
        <v>60</v>
      </c>
      <c r="N4" t="s">
        <v>13</v>
      </c>
    </row>
    <row r="5" spans="2:14" x14ac:dyDescent="0.25">
      <c r="B5" s="3" t="s">
        <v>10</v>
      </c>
      <c r="C5" s="5">
        <v>7000</v>
      </c>
      <c r="D5" s="5"/>
      <c r="E5" s="5">
        <f>C5*1.176</f>
        <v>8232</v>
      </c>
      <c r="F5" s="5"/>
      <c r="G5" s="9">
        <f t="shared" ref="G5:G10" si="0">E5-C5</f>
        <v>1232</v>
      </c>
      <c r="H5" s="9"/>
      <c r="I5" s="12">
        <f>G5/E5</f>
        <v>0.14965986394557823</v>
      </c>
      <c r="K5">
        <v>4</v>
      </c>
      <c r="M5">
        <v>80</v>
      </c>
    </row>
    <row r="6" spans="2:14" x14ac:dyDescent="0.25">
      <c r="B6" s="3" t="s">
        <v>12</v>
      </c>
      <c r="C6" s="5">
        <v>2700</v>
      </c>
      <c r="D6" s="5"/>
      <c r="E6" s="5">
        <v>4800</v>
      </c>
      <c r="F6" s="5"/>
      <c r="G6" s="9">
        <f t="shared" si="0"/>
        <v>2100</v>
      </c>
      <c r="H6" s="9"/>
      <c r="I6" s="12">
        <f>G6/E6</f>
        <v>0.4375</v>
      </c>
      <c r="K6">
        <v>85</v>
      </c>
      <c r="M6">
        <f>M4*M5</f>
        <v>4800</v>
      </c>
    </row>
    <row r="7" spans="2:14" x14ac:dyDescent="0.25">
      <c r="B7" s="3" t="s">
        <v>1</v>
      </c>
      <c r="C7" s="5">
        <v>125</v>
      </c>
      <c r="D7" s="5"/>
      <c r="E7" s="5">
        <f t="shared" ref="E7:E10" si="1">C7*1.176</f>
        <v>147</v>
      </c>
      <c r="F7" s="5"/>
      <c r="G7" s="9">
        <f t="shared" si="0"/>
        <v>22</v>
      </c>
      <c r="H7" s="9"/>
      <c r="I7" s="12">
        <f>G7/E7</f>
        <v>0.14965986394557823</v>
      </c>
      <c r="K7">
        <f>K4*K5*K6</f>
        <v>1020</v>
      </c>
    </row>
    <row r="8" spans="2:14" x14ac:dyDescent="0.25">
      <c r="B8" s="3" t="s">
        <v>2</v>
      </c>
      <c r="C8" s="5">
        <v>500</v>
      </c>
      <c r="D8" s="5"/>
      <c r="E8" s="5">
        <f t="shared" si="1"/>
        <v>588</v>
      </c>
      <c r="F8" s="5"/>
      <c r="G8" s="9">
        <f t="shared" si="0"/>
        <v>88</v>
      </c>
      <c r="H8" s="9"/>
      <c r="I8" s="12">
        <f>G8/E8</f>
        <v>0.14965986394557823</v>
      </c>
    </row>
    <row r="9" spans="2:14" x14ac:dyDescent="0.25">
      <c r="B9" s="3" t="s">
        <v>3</v>
      </c>
      <c r="C9" s="5">
        <v>1050</v>
      </c>
      <c r="D9" s="5"/>
      <c r="E9" s="5">
        <f t="shared" si="1"/>
        <v>1234.8</v>
      </c>
      <c r="F9" s="5"/>
      <c r="G9" s="9">
        <f t="shared" si="0"/>
        <v>184.79999999999995</v>
      </c>
      <c r="H9" s="9"/>
      <c r="I9" s="12">
        <f>G9/E9</f>
        <v>0.1496598639455782</v>
      </c>
    </row>
    <row r="10" spans="2:14" x14ac:dyDescent="0.25">
      <c r="B10" s="3" t="s">
        <v>9</v>
      </c>
      <c r="C10" s="5">
        <v>0</v>
      </c>
      <c r="D10" s="5"/>
      <c r="E10" s="5">
        <f t="shared" si="1"/>
        <v>0</v>
      </c>
      <c r="F10" s="5"/>
      <c r="G10" s="9">
        <f t="shared" si="0"/>
        <v>0</v>
      </c>
      <c r="H10" s="9"/>
      <c r="I10" s="12"/>
    </row>
    <row r="11" spans="2:14" x14ac:dyDescent="0.25">
      <c r="B11" s="3"/>
      <c r="C11" s="5"/>
      <c r="D11" s="5"/>
      <c r="E11" s="5"/>
      <c r="F11" s="5"/>
      <c r="G11" s="9"/>
      <c r="H11" s="9"/>
      <c r="I11" s="12"/>
      <c r="L11" s="14"/>
    </row>
    <row r="12" spans="2:14" ht="15.75" thickBot="1" x14ac:dyDescent="0.3">
      <c r="B12" s="4"/>
      <c r="C12" s="5"/>
      <c r="D12" s="5"/>
      <c r="E12" s="7"/>
      <c r="F12" s="7"/>
      <c r="G12" s="9"/>
      <c r="H12" s="9"/>
      <c r="I12" s="12"/>
    </row>
    <row r="13" spans="2:14" ht="15.75" thickTop="1" x14ac:dyDescent="0.25">
      <c r="B13" s="4" t="s">
        <v>4</v>
      </c>
      <c r="C13" s="8">
        <f>SUM(C4:C12)</f>
        <v>26375</v>
      </c>
      <c r="D13" s="5"/>
      <c r="E13" s="8">
        <f>SUM(E4:E12)</f>
        <v>30001.8</v>
      </c>
      <c r="F13" s="7"/>
      <c r="G13" s="8">
        <f>SUM(G4:G12)</f>
        <v>3626.8</v>
      </c>
      <c r="H13" s="7"/>
      <c r="I13" s="12">
        <f>G13/E13</f>
        <v>0.12088608016852323</v>
      </c>
    </row>
    <row r="18" spans="5:5" x14ac:dyDescent="0.25">
      <c r="E18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Nathanael Earp</dc:creator>
  <cp:lastModifiedBy>Nathanael Earp</cp:lastModifiedBy>
  <dcterms:created xsi:type="dcterms:W3CDTF">2016-10-06T22:22:22Z</dcterms:created>
  <dcterms:modified xsi:type="dcterms:W3CDTF">2016-10-19T21:55:59Z</dcterms:modified>
</cp:coreProperties>
</file>