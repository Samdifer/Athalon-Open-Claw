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RACI Management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M6" i="1"/>
  <c r="M8" i="1" s="1"/>
  <c r="E7" i="1" l="1"/>
  <c r="E5" i="1"/>
  <c r="E6" i="1" l="1"/>
  <c r="C17" i="1"/>
  <c r="E8" i="1"/>
  <c r="E9" i="1"/>
  <c r="E12" i="1"/>
  <c r="E13" i="1"/>
  <c r="E17" i="1" l="1"/>
  <c r="E19" i="1" s="1"/>
  <c r="G14" i="1"/>
  <c r="I14" i="1" s="1"/>
  <c r="G19" i="1" l="1"/>
  <c r="I19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4" i="1"/>
  <c r="I4" i="1" s="1"/>
  <c r="G17" i="1" l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<sst xmlns="http://schemas.openxmlformats.org/spreadsheetml/2006/main" count="16" uniqueCount="16">
  <si>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Upgrade RTU 42XX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</si>
  <si>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</si>
  <si>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</si>
  <si>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</si>
  <si>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</si>
  <si>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</si>
  <si>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</si>
  <si>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</si>
  <si>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</si>
  <si>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</si>
  <si>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</si>
  <si>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</si>
  <si>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New TDR-94 Transponders</t>
  </si>
  <si>
    <t>Exchange GPS-4000S GPS (1)</t>
  </si>
  <si>
    <t>Installation 80 Hrs</t>
  </si>
  <si>
    <t>CMD Flight 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</si>
</sst>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O24"/>
  <sheetViews>
    <sheetView tabSelected="1" workbookViewId="0">
      <selection activeCell="K15" sqref="K15"/>
    </sheetView>
  </sheetViews>
  <sheetFormatPr defaultRowHeight="15" x14ac:dyDescent="0.25"/>
  <cols>
    <col min="1" max="1" width="9.140625" style="4"/>
    <col min="2" max="2" width="31.42578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4"/>
  </cols>
  <sheetData>
    <row r="3" spans="2:15" x14ac:dyDescent="0.25">
      <c r="B3" s="1"/>
      <c r="C3" s="2" t="s">
        <v>7</v>
      </c>
      <c r="D3" s="2"/>
      <c r="E3" s="3" t="s">
        <v>8</v>
      </c>
      <c r="F3" s="3"/>
      <c r="G3" s="2" t="s">
        <v>9</v>
      </c>
      <c r="H3" s="2"/>
      <c r="I3" s="2" t="s">
        <v>10</v>
      </c>
    </row>
    <row r="4" spans="2:15" x14ac:dyDescent="0.25">
      <c r="B4" s="5" t="s">
        <v>15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  <c r="M4" s="4">
        <v>80</v>
      </c>
      <c r="O4" s="4">
        <v>5</v>
      </c>
    </row>
    <row r="5" spans="2:15" x14ac:dyDescent="0.25">
      <c r="B5" s="4" t="s">
        <v>12</v>
      </c>
      <c r="C5" s="6">
        <v>32280</v>
      </c>
      <c r="D5" s="6"/>
      <c r="E5" s="6">
        <f>C5*1.176</f>
        <v>37961.279999999999</v>
      </c>
      <c r="F5" s="6"/>
      <c r="G5" s="6">
        <f t="shared" ref="G5:G14" si="0">E5-C5</f>
        <v>5681.2799999999988</v>
      </c>
      <c r="H5" s="6"/>
      <c r="I5" s="7">
        <f t="shared" ref="I5:I14" si="1">G5/E5</f>
        <v>0.1496598639455782</v>
      </c>
      <c r="M5" s="4">
        <v>85</v>
      </c>
      <c r="O5" s="4">
        <v>4</v>
      </c>
    </row>
    <row r="6" spans="2:15" x14ac:dyDescent="0.25">
      <c r="B6" s="4" t="s">
        <v>0</v>
      </c>
      <c r="C6" s="6">
        <v>0</v>
      </c>
      <c r="D6" s="6"/>
      <c r="E6" s="6">
        <f>C6*1.176</f>
        <v>0</v>
      </c>
      <c r="F6" s="6"/>
      <c r="G6" s="6">
        <f t="shared" si="0"/>
        <v>0</v>
      </c>
      <c r="H6" s="6"/>
      <c r="I6" s="7" t="e">
        <f t="shared" si="1"/>
        <v>#DIV/0!</v>
      </c>
      <c r="M6" s="4">
        <f>M4*M5</f>
        <v>6800</v>
      </c>
      <c r="O6" s="4">
        <v>85</v>
      </c>
    </row>
    <row r="7" spans="2:15" x14ac:dyDescent="0.25">
      <c r="B7" s="4" t="s">
        <v>13</v>
      </c>
      <c r="C7" s="6">
        <v>15676</v>
      </c>
      <c r="D7" s="6"/>
      <c r="E7" s="6">
        <f t="shared" ref="E7:E13" si="2">C7*1.176</f>
        <v>18434.975999999999</v>
      </c>
      <c r="F7" s="6"/>
      <c r="G7" s="6">
        <f t="shared" si="0"/>
        <v>2758.9759999999987</v>
      </c>
      <c r="H7" s="6"/>
      <c r="I7" s="7">
        <f t="shared" si="1"/>
        <v>0.14965986394557818</v>
      </c>
      <c r="O7" s="4">
        <f>O4*O5*O6</f>
        <v>1700</v>
      </c>
    </row>
    <row r="8" spans="2:15" x14ac:dyDescent="0.25">
      <c r="B8" s="4" t="s">
        <v>1</v>
      </c>
      <c r="C8" s="6">
        <v>1200</v>
      </c>
      <c r="D8" s="6"/>
      <c r="E8" s="6">
        <f t="shared" si="2"/>
        <v>1411.1999999999998</v>
      </c>
      <c r="F8" s="6"/>
      <c r="G8" s="6">
        <f t="shared" si="0"/>
        <v>211.19999999999982</v>
      </c>
      <c r="H8" s="6"/>
      <c r="I8" s="7">
        <f t="shared" si="1"/>
        <v>0.14965986394557812</v>
      </c>
      <c r="M8" s="4">
        <f>M6*0.05</f>
        <v>340</v>
      </c>
    </row>
    <row r="9" spans="2:15" x14ac:dyDescent="0.25">
      <c r="B9" s="4" t="s">
        <v>2</v>
      </c>
      <c r="C9" s="6">
        <v>0</v>
      </c>
      <c r="D9" s="6"/>
      <c r="E9" s="6">
        <f t="shared" si="2"/>
        <v>0</v>
      </c>
      <c r="F9" s="6"/>
      <c r="G9" s="6">
        <f t="shared" si="0"/>
        <v>0</v>
      </c>
      <c r="H9" s="6"/>
      <c r="I9" s="7" t="e">
        <f t="shared" si="1"/>
        <v>#DIV/0!</v>
      </c>
    </row>
    <row r="10" spans="2:15" x14ac:dyDescent="0.25">
      <c r="B10" s="4" t="s">
        <v>14</v>
      </c>
      <c r="C10" s="6">
        <v>3600</v>
      </c>
      <c r="D10" s="6"/>
      <c r="E10" s="6">
        <v>6800</v>
      </c>
      <c r="F10" s="6"/>
      <c r="G10" s="6">
        <f t="shared" si="0"/>
        <v>3200</v>
      </c>
      <c r="H10" s="6"/>
      <c r="I10" s="7">
        <f t="shared" si="1"/>
        <v>0.47058823529411764</v>
      </c>
    </row>
    <row r="11" spans="2:15" x14ac:dyDescent="0.25">
      <c r="B11" s="4" t="s">
        <v>3</v>
      </c>
      <c r="C11" s="6">
        <v>125</v>
      </c>
      <c r="D11" s="6"/>
      <c r="E11" s="6">
        <v>125</v>
      </c>
      <c r="F11" s="6"/>
      <c r="G11" s="6">
        <f t="shared" si="0"/>
        <v>0</v>
      </c>
      <c r="H11" s="6"/>
      <c r="I11" s="7">
        <f t="shared" si="1"/>
        <v>0</v>
      </c>
    </row>
    <row r="12" spans="2:15" x14ac:dyDescent="0.25">
      <c r="B12" s="4" t="s">
        <v>4</v>
      </c>
      <c r="C12" s="6">
        <v>600</v>
      </c>
      <c r="D12" s="6"/>
      <c r="E12" s="6">
        <f t="shared" si="2"/>
        <v>705.59999999999991</v>
      </c>
      <c r="F12" s="6"/>
      <c r="G12" s="6">
        <f t="shared" si="0"/>
        <v>105.59999999999991</v>
      </c>
      <c r="H12" s="6"/>
      <c r="I12" s="7">
        <f t="shared" si="1"/>
        <v>0.14965986394557812</v>
      </c>
    </row>
    <row r="13" spans="2:15" x14ac:dyDescent="0.25">
      <c r="B13" s="4" t="s">
        <v>5</v>
      </c>
      <c r="C13" s="6">
        <v>1700</v>
      </c>
      <c r="D13" s="6"/>
      <c r="E13" s="6">
        <f t="shared" si="2"/>
        <v>1999.1999999999998</v>
      </c>
      <c r="F13" s="6"/>
      <c r="G13" s="6">
        <f t="shared" si="0"/>
        <v>299.19999999999982</v>
      </c>
      <c r="H13" s="6"/>
      <c r="I13" s="7">
        <f t="shared" si="1"/>
        <v>0.14965986394557815</v>
      </c>
    </row>
    <row r="14" spans="2:15" x14ac:dyDescent="0.25">
      <c r="B14" s="4" t="s">
        <v>11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 t="e">
        <f t="shared" si="1"/>
        <v>#DIV/0!</v>
      </c>
    </row>
    <row r="15" spans="2:15" x14ac:dyDescent="0.25">
      <c r="C15" s="6"/>
      <c r="D15" s="6"/>
      <c r="E15" s="6"/>
      <c r="F15" s="6"/>
      <c r="G15" s="6"/>
      <c r="H15" s="6"/>
      <c r="I15" s="7"/>
    </row>
    <row r="16" spans="2:15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0" ht="15.75" thickTop="1" x14ac:dyDescent="0.25">
      <c r="B17" s="8" t="s">
        <v>6</v>
      </c>
      <c r="C17" s="10">
        <f>SUM(C4:C16)</f>
        <v>70181</v>
      </c>
      <c r="D17" s="6"/>
      <c r="E17" s="10">
        <f>SUM(E4:E16)</f>
        <v>82437.255999999994</v>
      </c>
      <c r="F17" s="9"/>
      <c r="G17" s="10">
        <f>SUM(G4:G16)</f>
        <v>12256.255999999998</v>
      </c>
      <c r="H17" s="9"/>
      <c r="I17" s="7">
        <f>G17/E17</f>
        <v>0.14867375013064479</v>
      </c>
    </row>
    <row r="18" spans="2:10" x14ac:dyDescent="0.25">
      <c r="E18" s="6">
        <v>-2500</v>
      </c>
      <c r="I18" s="7">
        <v>0.03</v>
      </c>
      <c r="J18" s="12"/>
    </row>
    <row r="19" spans="2:10" x14ac:dyDescent="0.25">
      <c r="E19" s="6">
        <f>E17+E18</f>
        <v>79937.255999999994</v>
      </c>
      <c r="G19" s="6">
        <f>E19-C17</f>
        <v>9756.2559999999939</v>
      </c>
      <c r="I19" s="7">
        <f>G19/E19</f>
        <v>0.12204892297028552</v>
      </c>
    </row>
    <row r="20" spans="2:10" x14ac:dyDescent="0.25">
      <c r="I20" s="7"/>
    </row>
    <row r="21" spans="2:10" x14ac:dyDescent="0.25">
      <c r="I21" s="7"/>
    </row>
    <row r="22" spans="2:10" x14ac:dyDescent="0.25">
      <c r="I22" s="7"/>
    </row>
    <row r="23" spans="2:10" x14ac:dyDescent="0.25">
      <c r="I23" s="7"/>
    </row>
    <row r="24" spans="2:10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2017-02-22T20:59:42Z</dcterms:modified>
</cp:coreProperties>
</file>