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m Sandifer\Desktop\"/>
    </mc:Choice>
  </mc:AlternateContent>
  <xr:revisionPtr revIDLastSave="0" documentId="8_{6C3DEA1A-00FE-4117-8A56-A2178D0E9732}" xr6:coauthVersionLast="47" xr6:coauthVersionMax="47" xr10:uidLastSave="{00000000-0000-0000-0000-000000000000}"/>
  <bookViews>
    <workbookView xWindow="-28920" yWindow="-16200" windowWidth="29040" windowHeight="15720" xr2:uid="{00000000-000D-0000-FFFF-FFFF00000000}"/>
  </bookViews>
  <sheets>
    <sheet name="2023 Forecast Totals" sheetId="1" r:id="rId1"/>
    <sheet name="Visualization" sheetId="2" r:id="rId2"/>
    <sheet name="Controls" sheetId="3" r:id="rId3"/>
    <sheet name="Man Hours &amp; Costs" sheetId="4" r:id="rId4"/>
    <sheet name="Work History" sheetId="5" r:id="rId5"/>
    <sheet name="TEAMGROWTH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AA161" i="2"/>
  <c r="AB161" i="2"/>
  <c r="AC161" i="2"/>
  <c r="AD161" i="2"/>
  <c r="AE161" i="2"/>
  <c r="AF161" i="2"/>
  <c r="AG161" i="2"/>
  <c r="AH161" i="2"/>
  <c r="AI161" i="2"/>
  <c r="AJ161" i="2"/>
  <c r="AK161" i="2"/>
  <c r="Z161" i="2"/>
  <c r="O161" i="2"/>
  <c r="P161" i="2"/>
  <c r="Q161" i="2"/>
  <c r="R161" i="2"/>
  <c r="S161" i="2"/>
  <c r="T161" i="2"/>
  <c r="U161" i="2"/>
  <c r="V161" i="2"/>
  <c r="W161" i="2"/>
  <c r="X161" i="2"/>
  <c r="Y161" i="2"/>
  <c r="Z162" i="2"/>
  <c r="N161" i="2"/>
  <c r="D161" i="2"/>
  <c r="F161" i="2"/>
  <c r="H161" i="2"/>
  <c r="J161" i="2"/>
  <c r="L161" i="2"/>
  <c r="B25" i="4"/>
  <c r="A161" i="2"/>
  <c r="AG65" i="6"/>
  <c r="AG66" i="6" s="1"/>
  <c r="AE65" i="6"/>
  <c r="AE66" i="6" s="1"/>
  <c r="AC65" i="6"/>
  <c r="AA65" i="6"/>
  <c r="AA66" i="6" s="1"/>
  <c r="Y65" i="6"/>
  <c r="W65" i="6"/>
  <c r="W66" i="6" s="1"/>
  <c r="U65" i="6"/>
  <c r="S65" i="6"/>
  <c r="Q65" i="6"/>
  <c r="O65" i="6"/>
  <c r="O66" i="6" s="1"/>
  <c r="M65" i="6"/>
  <c r="M66" i="6" s="1"/>
  <c r="K65" i="6"/>
  <c r="K66" i="6" s="1"/>
  <c r="AG64" i="6"/>
  <c r="AE64" i="6"/>
  <c r="AC64" i="6"/>
  <c r="AA64" i="6"/>
  <c r="Y64" i="6"/>
  <c r="W64" i="6"/>
  <c r="U64" i="6"/>
  <c r="S64" i="6"/>
  <c r="Q64" i="6"/>
  <c r="O64" i="6"/>
  <c r="M64" i="6"/>
  <c r="K64" i="6"/>
  <c r="C58" i="6"/>
  <c r="A58" i="6"/>
  <c r="AE38" i="6"/>
  <c r="AC38" i="6"/>
  <c r="AA38" i="6"/>
  <c r="Y38" i="6"/>
  <c r="W38" i="6"/>
  <c r="O38" i="6"/>
  <c r="AG37" i="6"/>
  <c r="AE37" i="6"/>
  <c r="AC37" i="6"/>
  <c r="AA37" i="6"/>
  <c r="Y37" i="6"/>
  <c r="W37" i="6"/>
  <c r="U37" i="6"/>
  <c r="S37" i="6"/>
  <c r="S38" i="6" s="1"/>
  <c r="Q37" i="6"/>
  <c r="O37" i="6"/>
  <c r="M37" i="6"/>
  <c r="K37" i="6"/>
  <c r="K38" i="6" s="1"/>
  <c r="AG36" i="6"/>
  <c r="AE36" i="6"/>
  <c r="AC36" i="6"/>
  <c r="AA36" i="6"/>
  <c r="Y36" i="6"/>
  <c r="W36" i="6"/>
  <c r="U36" i="6"/>
  <c r="S36" i="6"/>
  <c r="Q36" i="6"/>
  <c r="O36" i="6"/>
  <c r="M36" i="6"/>
  <c r="K36" i="6"/>
  <c r="G34" i="6"/>
  <c r="C34" i="6"/>
  <c r="A34" i="6" s="1"/>
  <c r="C33" i="6"/>
  <c r="A33" i="6"/>
  <c r="G32" i="6"/>
  <c r="C32" i="6"/>
  <c r="A32" i="6"/>
  <c r="C31" i="6"/>
  <c r="A31" i="6" s="1"/>
  <c r="C30" i="6"/>
  <c r="A30" i="6" s="1"/>
  <c r="C29" i="6"/>
  <c r="A29" i="6"/>
  <c r="I28" i="6"/>
  <c r="C28" i="6"/>
  <c r="A28" i="6" s="1"/>
  <c r="C27" i="6"/>
  <c r="A27" i="6"/>
  <c r="B22" i="6"/>
  <c r="B21" i="6"/>
  <c r="C16" i="6"/>
  <c r="A16" i="6"/>
  <c r="A14" i="6"/>
  <c r="A13" i="6"/>
  <c r="A12" i="6"/>
  <c r="A10" i="6"/>
  <c r="B9" i="6"/>
  <c r="A9" i="6"/>
  <c r="B8" i="6"/>
  <c r="A8" i="6"/>
  <c r="B7" i="6"/>
  <c r="A7" i="6"/>
  <c r="B6" i="6"/>
  <c r="A6" i="6"/>
  <c r="C5" i="6"/>
  <c r="A5" i="6"/>
  <c r="F4" i="6"/>
  <c r="C4" i="6"/>
  <c r="B4" i="6"/>
  <c r="A3" i="6"/>
  <c r="B71" i="5"/>
  <c r="B70" i="5"/>
  <c r="B69" i="5"/>
  <c r="B68" i="5"/>
  <c r="B67" i="5"/>
  <c r="B66" i="5"/>
  <c r="B65" i="5"/>
  <c r="B64" i="5"/>
  <c r="B63" i="5"/>
  <c r="B62" i="5"/>
  <c r="B61" i="5"/>
  <c r="B60" i="5"/>
  <c r="G52" i="5"/>
  <c r="E52" i="5"/>
  <c r="D52" i="5"/>
  <c r="G51" i="5"/>
  <c r="E51" i="5"/>
  <c r="D51" i="5"/>
  <c r="AN50" i="5"/>
  <c r="AL50" i="5"/>
  <c r="AJ50" i="5"/>
  <c r="AH50" i="5"/>
  <c r="AF50" i="5"/>
  <c r="AD50" i="5"/>
  <c r="AB50" i="5"/>
  <c r="Z50" i="5"/>
  <c r="X50" i="5"/>
  <c r="V50" i="5"/>
  <c r="T50" i="5"/>
  <c r="R50" i="5"/>
  <c r="P50" i="5"/>
  <c r="N50" i="5"/>
  <c r="L50" i="5"/>
  <c r="AN49" i="5"/>
  <c r="AL49" i="5"/>
  <c r="AJ49" i="5"/>
  <c r="AH49" i="5"/>
  <c r="AF49" i="5"/>
  <c r="AD49" i="5"/>
  <c r="AB49" i="5"/>
  <c r="Z49" i="5"/>
  <c r="X49" i="5"/>
  <c r="V49" i="5"/>
  <c r="T49" i="5"/>
  <c r="R49" i="5"/>
  <c r="P49" i="5"/>
  <c r="N49" i="5"/>
  <c r="L49" i="5"/>
  <c r="AN48" i="5"/>
  <c r="AL48" i="5"/>
  <c r="AJ48" i="5"/>
  <c r="AH48" i="5"/>
  <c r="AF48" i="5"/>
  <c r="AD48" i="5"/>
  <c r="AB48" i="5"/>
  <c r="Z48" i="5"/>
  <c r="X48" i="5"/>
  <c r="V48" i="5"/>
  <c r="T48" i="5"/>
  <c r="R48" i="5"/>
  <c r="P48" i="5"/>
  <c r="N48" i="5"/>
  <c r="L48" i="5"/>
  <c r="AN47" i="5"/>
  <c r="AL47" i="5"/>
  <c r="AJ47" i="5"/>
  <c r="AH47" i="5"/>
  <c r="AF47" i="5"/>
  <c r="AD47" i="5"/>
  <c r="AB47" i="5"/>
  <c r="Z47" i="5"/>
  <c r="X47" i="5"/>
  <c r="V47" i="5"/>
  <c r="T47" i="5"/>
  <c r="R47" i="5"/>
  <c r="P47" i="5"/>
  <c r="N47" i="5"/>
  <c r="L47" i="5"/>
  <c r="AN46" i="5"/>
  <c r="AL46" i="5"/>
  <c r="AJ46" i="5"/>
  <c r="AH46" i="5"/>
  <c r="AF46" i="5"/>
  <c r="AD46" i="5"/>
  <c r="AB46" i="5"/>
  <c r="Z46" i="5"/>
  <c r="X46" i="5"/>
  <c r="V46" i="5"/>
  <c r="T46" i="5"/>
  <c r="R46" i="5"/>
  <c r="P46" i="5"/>
  <c r="N46" i="5"/>
  <c r="L46" i="5"/>
  <c r="AN45" i="5"/>
  <c r="AL45" i="5"/>
  <c r="AJ45" i="5"/>
  <c r="AH45" i="5"/>
  <c r="AF45" i="5"/>
  <c r="AD45" i="5"/>
  <c r="AB45" i="5"/>
  <c r="Z45" i="5"/>
  <c r="X45" i="5"/>
  <c r="V45" i="5"/>
  <c r="T45" i="5"/>
  <c r="R45" i="5"/>
  <c r="P45" i="5"/>
  <c r="N45" i="5"/>
  <c r="L45" i="5"/>
  <c r="AN44" i="5"/>
  <c r="AL44" i="5"/>
  <c r="AJ44" i="5"/>
  <c r="AH44" i="5"/>
  <c r="AF44" i="5"/>
  <c r="AD44" i="5"/>
  <c r="AB44" i="5"/>
  <c r="Z44" i="5"/>
  <c r="X44" i="5"/>
  <c r="V44" i="5"/>
  <c r="T44" i="5"/>
  <c r="R44" i="5"/>
  <c r="P44" i="5"/>
  <c r="N44" i="5"/>
  <c r="L44" i="5"/>
  <c r="AN43" i="5"/>
  <c r="AL43" i="5"/>
  <c r="AJ43" i="5"/>
  <c r="AH43" i="5"/>
  <c r="AF43" i="5"/>
  <c r="AD43" i="5"/>
  <c r="AB43" i="5"/>
  <c r="Z43" i="5"/>
  <c r="X43" i="5"/>
  <c r="V43" i="5"/>
  <c r="T43" i="5"/>
  <c r="R43" i="5"/>
  <c r="P43" i="5"/>
  <c r="N43" i="5"/>
  <c r="L43" i="5"/>
  <c r="AN42" i="5"/>
  <c r="AL42" i="5"/>
  <c r="AH42" i="5"/>
  <c r="AF42" i="5"/>
  <c r="AD42" i="5"/>
  <c r="AB42" i="5"/>
  <c r="Z42" i="5"/>
  <c r="X42" i="5"/>
  <c r="V42" i="5"/>
  <c r="T42" i="5"/>
  <c r="R42" i="5"/>
  <c r="P42" i="5"/>
  <c r="N42" i="5"/>
  <c r="L42" i="5"/>
  <c r="AN41" i="5"/>
  <c r="AL41" i="5"/>
  <c r="AJ41" i="5"/>
  <c r="AH41" i="5"/>
  <c r="AF41" i="5"/>
  <c r="AD41" i="5"/>
  <c r="AB41" i="5"/>
  <c r="Z41" i="5"/>
  <c r="X41" i="5"/>
  <c r="V41" i="5"/>
  <c r="T41" i="5"/>
  <c r="R41" i="5"/>
  <c r="P41" i="5"/>
  <c r="N41" i="5"/>
  <c r="L41" i="5"/>
  <c r="AN40" i="5"/>
  <c r="AL40" i="5"/>
  <c r="AJ40" i="5"/>
  <c r="AH40" i="5"/>
  <c r="AF40" i="5"/>
  <c r="AD40" i="5"/>
  <c r="AB40" i="5"/>
  <c r="Z40" i="5"/>
  <c r="X40" i="5"/>
  <c r="V40" i="5"/>
  <c r="T40" i="5"/>
  <c r="R40" i="5"/>
  <c r="P40" i="5"/>
  <c r="N40" i="5"/>
  <c r="L40" i="5"/>
  <c r="AN39" i="5"/>
  <c r="AL39" i="5"/>
  <c r="AJ39" i="5"/>
  <c r="AH39" i="5"/>
  <c r="AF39" i="5"/>
  <c r="AD39" i="5"/>
  <c r="AB39" i="5"/>
  <c r="Z39" i="5"/>
  <c r="X39" i="5"/>
  <c r="V39" i="5"/>
  <c r="T39" i="5"/>
  <c r="R39" i="5"/>
  <c r="P39" i="5"/>
  <c r="N39" i="5"/>
  <c r="L39" i="5"/>
  <c r="AN38" i="5"/>
  <c r="AL38" i="5"/>
  <c r="AJ38" i="5"/>
  <c r="AH38" i="5"/>
  <c r="AF38" i="5"/>
  <c r="AD38" i="5"/>
  <c r="AB38" i="5"/>
  <c r="Z38" i="5"/>
  <c r="X38" i="5"/>
  <c r="V38" i="5"/>
  <c r="T38" i="5"/>
  <c r="R38" i="5"/>
  <c r="P38" i="5"/>
  <c r="N38" i="5"/>
  <c r="L38" i="5"/>
  <c r="AN37" i="5"/>
  <c r="AL37" i="5"/>
  <c r="AJ37" i="5"/>
  <c r="AH37" i="5"/>
  <c r="AF37" i="5"/>
  <c r="AD37" i="5"/>
  <c r="AB37" i="5"/>
  <c r="Z37" i="5"/>
  <c r="X37" i="5"/>
  <c r="V37" i="5"/>
  <c r="T37" i="5"/>
  <c r="R37" i="5"/>
  <c r="P37" i="5"/>
  <c r="N37" i="5"/>
  <c r="L37" i="5"/>
  <c r="AN36" i="5"/>
  <c r="AL36" i="5"/>
  <c r="AJ36" i="5"/>
  <c r="AH36" i="5"/>
  <c r="AF36" i="5"/>
  <c r="AD36" i="5"/>
  <c r="AB36" i="5"/>
  <c r="Z36" i="5"/>
  <c r="X36" i="5"/>
  <c r="V36" i="5"/>
  <c r="T36" i="5"/>
  <c r="R36" i="5"/>
  <c r="P36" i="5"/>
  <c r="N36" i="5"/>
  <c r="L36" i="5"/>
  <c r="AN35" i="5"/>
  <c r="AL35" i="5"/>
  <c r="AJ35" i="5"/>
  <c r="AH35" i="5"/>
  <c r="AF35" i="5"/>
  <c r="AD35" i="5"/>
  <c r="AB35" i="5"/>
  <c r="Z35" i="5"/>
  <c r="X35" i="5"/>
  <c r="V35" i="5"/>
  <c r="T35" i="5"/>
  <c r="R35" i="5"/>
  <c r="P35" i="5"/>
  <c r="N35" i="5"/>
  <c r="L35" i="5"/>
  <c r="AN34" i="5"/>
  <c r="AL34" i="5"/>
  <c r="AJ34" i="5"/>
  <c r="AH34" i="5"/>
  <c r="AF34" i="5"/>
  <c r="AD34" i="5"/>
  <c r="AB34" i="5"/>
  <c r="Z34" i="5"/>
  <c r="X34" i="5"/>
  <c r="V34" i="5"/>
  <c r="T34" i="5"/>
  <c r="R34" i="5"/>
  <c r="P34" i="5"/>
  <c r="N34" i="5"/>
  <c r="L34" i="5"/>
  <c r="AN33" i="5"/>
  <c r="AL33" i="5"/>
  <c r="AJ33" i="5"/>
  <c r="AH33" i="5"/>
  <c r="AF33" i="5"/>
  <c r="AD33" i="5"/>
  <c r="AB33" i="5"/>
  <c r="Z33" i="5"/>
  <c r="X33" i="5"/>
  <c r="V33" i="5"/>
  <c r="T33" i="5"/>
  <c r="R33" i="5"/>
  <c r="P33" i="5"/>
  <c r="N33" i="5"/>
  <c r="L33" i="5"/>
  <c r="G25" i="5"/>
  <c r="E25" i="5"/>
  <c r="D25" i="5"/>
  <c r="G24" i="5"/>
  <c r="E24" i="5"/>
  <c r="D24" i="5"/>
  <c r="AB33" i="4"/>
  <c r="O33" i="4"/>
  <c r="O31" i="4"/>
  <c r="O30" i="4"/>
  <c r="AO29" i="4"/>
  <c r="AB29" i="4"/>
  <c r="AO28" i="4"/>
  <c r="AB28" i="4"/>
  <c r="O28" i="4"/>
  <c r="AK19" i="4"/>
  <c r="AG19" i="4"/>
  <c r="AF19" i="4"/>
  <c r="AN18" i="4"/>
  <c r="AL18" i="4"/>
  <c r="AI18" i="4"/>
  <c r="AJ43" i="1" s="1"/>
  <c r="AF156" i="2" s="1"/>
  <c r="AH18" i="4"/>
  <c r="AI43" i="1" s="1"/>
  <c r="AE156" i="2" s="1"/>
  <c r="AG18" i="4"/>
  <c r="AH43" i="1" s="1"/>
  <c r="AD156" i="2" s="1"/>
  <c r="S18" i="4"/>
  <c r="T43" i="1" s="1"/>
  <c r="Q156" i="2" s="1"/>
  <c r="P18" i="4"/>
  <c r="AO17" i="4"/>
  <c r="AB17" i="4"/>
  <c r="O17" i="4"/>
  <c r="AN14" i="4"/>
  <c r="AN13" i="4"/>
  <c r="AN12" i="4"/>
  <c r="AA11" i="4"/>
  <c r="B10" i="4"/>
  <c r="AG9" i="4"/>
  <c r="AE9" i="4"/>
  <c r="AN8" i="4"/>
  <c r="AN11" i="4" s="1"/>
  <c r="AL8" i="4"/>
  <c r="AK8" i="4"/>
  <c r="AJ8" i="4"/>
  <c r="AG8" i="4"/>
  <c r="AG11" i="4" s="1"/>
  <c r="AF8" i="4"/>
  <c r="AF9" i="4" s="1"/>
  <c r="AE8" i="4"/>
  <c r="AE11" i="4" s="1"/>
  <c r="AA8" i="4"/>
  <c r="AA9" i="4" s="1"/>
  <c r="T8" i="4"/>
  <c r="T24" i="4" s="1"/>
  <c r="S8" i="4"/>
  <c r="S9" i="4" s="1"/>
  <c r="AO6" i="4"/>
  <c r="AB6" i="4"/>
  <c r="O6" i="4"/>
  <c r="B18" i="6" s="1"/>
  <c r="B19" i="6" s="1"/>
  <c r="AN4" i="4"/>
  <c r="AN19" i="4" s="1"/>
  <c r="AM4" i="4"/>
  <c r="AM19" i="4" s="1"/>
  <c r="AL4" i="4"/>
  <c r="AL19" i="4" s="1"/>
  <c r="AK4" i="4"/>
  <c r="AK18" i="4" s="1"/>
  <c r="AJ4" i="4"/>
  <c r="AI4" i="4"/>
  <c r="AH4" i="4"/>
  <c r="AH19" i="4" s="1"/>
  <c r="AG4" i="4"/>
  <c r="AF4" i="4"/>
  <c r="AF18" i="4" s="1"/>
  <c r="AE4" i="4"/>
  <c r="AE19" i="4" s="1"/>
  <c r="AD4" i="4"/>
  <c r="AC4" i="4"/>
  <c r="AA4" i="4"/>
  <c r="AA19" i="4" s="1"/>
  <c r="Z4" i="4"/>
  <c r="Y4" i="4"/>
  <c r="Y18" i="4" s="1"/>
  <c r="X4" i="4"/>
  <c r="W4" i="4"/>
  <c r="V4" i="4"/>
  <c r="V19" i="4" s="1"/>
  <c r="U4" i="4"/>
  <c r="U19" i="4" s="1"/>
  <c r="T4" i="4"/>
  <c r="T18" i="4" s="1"/>
  <c r="S4" i="4"/>
  <c r="S19" i="4" s="1"/>
  <c r="R4" i="4"/>
  <c r="R8" i="4" s="1"/>
  <c r="Q4" i="4"/>
  <c r="Q8" i="4" s="1"/>
  <c r="P4" i="4"/>
  <c r="N4" i="4"/>
  <c r="N19" i="4" s="1"/>
  <c r="M4" i="4"/>
  <c r="L157" i="2" s="1"/>
  <c r="L4" i="4"/>
  <c r="L8" i="4" s="1"/>
  <c r="K4" i="4"/>
  <c r="J4" i="4"/>
  <c r="J19" i="4" s="1"/>
  <c r="I4" i="4"/>
  <c r="H4" i="4"/>
  <c r="H18" i="4" s="1"/>
  <c r="I43" i="1" s="1"/>
  <c r="G156" i="2" s="1"/>
  <c r="G4" i="4"/>
  <c r="F157" i="2" s="1"/>
  <c r="F4" i="4"/>
  <c r="F18" i="4" s="1"/>
  <c r="G43" i="1" s="1"/>
  <c r="E156" i="2" s="1"/>
  <c r="E4" i="4"/>
  <c r="D4" i="4"/>
  <c r="D18" i="4" s="1"/>
  <c r="E43" i="1" s="1"/>
  <c r="C156" i="2" s="1"/>
  <c r="C4" i="4"/>
  <c r="C8" i="4" s="1"/>
  <c r="C9" i="4" s="1"/>
  <c r="D72" i="3"/>
  <c r="D70" i="3" s="1"/>
  <c r="B60" i="1" s="1"/>
  <c r="E63" i="3"/>
  <c r="E59" i="3"/>
  <c r="D59" i="3"/>
  <c r="B24" i="4" s="1"/>
  <c r="E58" i="3"/>
  <c r="E57" i="3"/>
  <c r="E56" i="3"/>
  <c r="E55" i="3"/>
  <c r="E54" i="3"/>
  <c r="E53" i="3"/>
  <c r="E52" i="3"/>
  <c r="E51" i="3"/>
  <c r="D47" i="3"/>
  <c r="E25" i="3"/>
  <c r="F25" i="3" s="1"/>
  <c r="E23" i="3"/>
  <c r="G23" i="3" s="1"/>
  <c r="G22" i="3"/>
  <c r="E22" i="3"/>
  <c r="E21" i="3"/>
  <c r="G21" i="3" s="1"/>
  <c r="E20" i="3"/>
  <c r="G20" i="3" s="1"/>
  <c r="D18" i="3"/>
  <c r="D17" i="3"/>
  <c r="D9" i="3"/>
  <c r="E8" i="3"/>
  <c r="C9" i="6" s="1"/>
  <c r="E7" i="3"/>
  <c r="C8" i="6" s="1"/>
  <c r="E6" i="3"/>
  <c r="C7" i="6" s="1"/>
  <c r="E5" i="3"/>
  <c r="C6" i="6" s="1"/>
  <c r="D4" i="3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2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K157" i="2"/>
  <c r="AJ157" i="2"/>
  <c r="AI157" i="2"/>
  <c r="AH157" i="2"/>
  <c r="AE157" i="2"/>
  <c r="AD157" i="2"/>
  <c r="AC157" i="2"/>
  <c r="AB157" i="2"/>
  <c r="AA157" i="2"/>
  <c r="Z157" i="2"/>
  <c r="Y157" i="2"/>
  <c r="X157" i="2"/>
  <c r="W157" i="2"/>
  <c r="U157" i="2"/>
  <c r="S157" i="2"/>
  <c r="R157" i="2"/>
  <c r="N157" i="2"/>
  <c r="A157" i="2"/>
  <c r="A156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A139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124" i="2"/>
  <c r="A123" i="2"/>
  <c r="A122" i="2"/>
  <c r="A121" i="2"/>
  <c r="A120" i="2"/>
  <c r="A119" i="2"/>
  <c r="A118" i="2"/>
  <c r="A117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P60" i="1"/>
  <c r="AC60" i="1"/>
  <c r="P60" i="1"/>
  <c r="AP59" i="1"/>
  <c r="AC59" i="1"/>
  <c r="P59" i="1"/>
  <c r="AP58" i="1"/>
  <c r="AC58" i="1"/>
  <c r="P58" i="1"/>
  <c r="AP57" i="1"/>
  <c r="AC57" i="1"/>
  <c r="P57" i="1"/>
  <c r="AP56" i="1"/>
  <c r="AC56" i="1"/>
  <c r="P56" i="1"/>
  <c r="AP55" i="1"/>
  <c r="AC55" i="1"/>
  <c r="P55" i="1"/>
  <c r="AP54" i="1"/>
  <c r="AC54" i="1"/>
  <c r="P54" i="1"/>
  <c r="AP53" i="1"/>
  <c r="AC53" i="1"/>
  <c r="P53" i="1"/>
  <c r="AP52" i="1"/>
  <c r="AC52" i="1"/>
  <c r="P52" i="1"/>
  <c r="AP51" i="1"/>
  <c r="AC51" i="1"/>
  <c r="P51" i="1"/>
  <c r="AP50" i="1"/>
  <c r="AC50" i="1"/>
  <c r="P50" i="1"/>
  <c r="AP49" i="1"/>
  <c r="AC49" i="1"/>
  <c r="P49" i="1"/>
  <c r="AO43" i="1"/>
  <c r="AK156" i="2" s="1"/>
  <c r="AM43" i="1"/>
  <c r="AI156" i="2" s="1"/>
  <c r="AL43" i="1"/>
  <c r="AH156" i="2" s="1"/>
  <c r="AG43" i="1"/>
  <c r="AC156" i="2" s="1"/>
  <c r="Z43" i="1"/>
  <c r="W156" i="2" s="1"/>
  <c r="U43" i="1"/>
  <c r="R156" i="2" s="1"/>
  <c r="Q43" i="1"/>
  <c r="N156" i="2" s="1"/>
  <c r="AO40" i="1"/>
  <c r="AN40" i="1"/>
  <c r="AM40" i="1"/>
  <c r="AK40" i="1"/>
  <c r="AJ40" i="1"/>
  <c r="AI40" i="1"/>
  <c r="AF40" i="1"/>
  <c r="U40" i="1"/>
  <c r="T40" i="1"/>
  <c r="N40" i="1"/>
  <c r="M40" i="1"/>
  <c r="K40" i="1"/>
  <c r="J40" i="1"/>
  <c r="I40" i="1"/>
  <c r="H40" i="1"/>
  <c r="G40" i="1"/>
  <c r="F40" i="1"/>
  <c r="AJ39" i="1"/>
  <c r="AI39" i="1"/>
  <c r="AH39" i="1"/>
  <c r="AG39" i="1"/>
  <c r="AF39" i="1"/>
  <c r="X39" i="1"/>
  <c r="W39" i="1"/>
  <c r="V39" i="1"/>
  <c r="U39" i="1"/>
  <c r="T39" i="1"/>
  <c r="R39" i="1"/>
  <c r="K39" i="1"/>
  <c r="J39" i="1"/>
  <c r="I39" i="1"/>
  <c r="H39" i="1"/>
  <c r="G39" i="1"/>
  <c r="F39" i="1"/>
  <c r="AI38" i="1"/>
  <c r="U38" i="1"/>
  <c r="T38" i="1"/>
  <c r="S38" i="1"/>
  <c r="O38" i="1"/>
  <c r="N38" i="1"/>
  <c r="M38" i="1"/>
  <c r="AO37" i="1"/>
  <c r="AO41" i="1" s="1"/>
  <c r="AN37" i="1"/>
  <c r="AM37" i="1"/>
  <c r="AD37" i="1"/>
  <c r="AB37" i="1"/>
  <c r="AA37" i="1"/>
  <c r="Z37" i="1"/>
  <c r="X37" i="1"/>
  <c r="R37" i="1"/>
  <c r="Q37" i="1"/>
  <c r="O37" i="1"/>
  <c r="N37" i="1"/>
  <c r="M37" i="1"/>
  <c r="E37" i="1"/>
  <c r="D37" i="1"/>
  <c r="AO36" i="1"/>
  <c r="AM36" i="1"/>
  <c r="AK36" i="1"/>
  <c r="AJ36" i="1"/>
  <c r="AI36" i="1"/>
  <c r="AF36" i="1"/>
  <c r="AB36" i="1"/>
  <c r="U36" i="1"/>
  <c r="T36" i="1"/>
  <c r="N36" i="1"/>
  <c r="M36" i="1"/>
  <c r="K36" i="1"/>
  <c r="J36" i="1"/>
  <c r="I36" i="1"/>
  <c r="H36" i="1"/>
  <c r="G36" i="1"/>
  <c r="F36" i="1"/>
  <c r="AK35" i="1"/>
  <c r="AJ35" i="1"/>
  <c r="AI35" i="1"/>
  <c r="AH35" i="1"/>
  <c r="AG35" i="1"/>
  <c r="AF35" i="1"/>
  <c r="Z35" i="1"/>
  <c r="X35" i="1"/>
  <c r="W35" i="1"/>
  <c r="V35" i="1"/>
  <c r="U35" i="1"/>
  <c r="T35" i="1"/>
  <c r="M35" i="1"/>
  <c r="L35" i="1"/>
  <c r="K35" i="1"/>
  <c r="J35" i="1"/>
  <c r="I35" i="1"/>
  <c r="H35" i="1"/>
  <c r="AM34" i="1"/>
  <c r="AL34" i="1"/>
  <c r="AK34" i="1"/>
  <c r="AJ34" i="1"/>
  <c r="AI34" i="1"/>
  <c r="Z34" i="1"/>
  <c r="Y34" i="1"/>
  <c r="X34" i="1"/>
  <c r="W34" i="1"/>
  <c r="N34" i="1"/>
  <c r="M34" i="1"/>
  <c r="L34" i="1"/>
  <c r="K34" i="1"/>
  <c r="H34" i="1"/>
  <c r="G34" i="1"/>
  <c r="AO33" i="1"/>
  <c r="AN33" i="1"/>
  <c r="AM33" i="1"/>
  <c r="AL33" i="1"/>
  <c r="AH33" i="1"/>
  <c r="AB33" i="1"/>
  <c r="AA33" i="1"/>
  <c r="Z33" i="1"/>
  <c r="Y33" i="1"/>
  <c r="X33" i="1"/>
  <c r="Q33" i="1"/>
  <c r="O33" i="1"/>
  <c r="N33" i="1"/>
  <c r="E33" i="1"/>
  <c r="AO32" i="1"/>
  <c r="AF32" i="1"/>
  <c r="AE32" i="1"/>
  <c r="AD32" i="1"/>
  <c r="AB32" i="1"/>
  <c r="AB41" i="1" s="1"/>
  <c r="AA32" i="1"/>
  <c r="AA41" i="1" s="1"/>
  <c r="T32" i="1"/>
  <c r="S32" i="1"/>
  <c r="R32" i="1"/>
  <c r="Q32" i="1"/>
  <c r="O32" i="1"/>
  <c r="N32" i="1"/>
  <c r="N41" i="1" s="1"/>
  <c r="M32" i="1"/>
  <c r="H32" i="1"/>
  <c r="F32" i="1"/>
  <c r="AP30" i="1"/>
  <c r="AC30" i="1"/>
  <c r="P30" i="1"/>
  <c r="AF29" i="1"/>
  <c r="AO28" i="1"/>
  <c r="AN28" i="1"/>
  <c r="AM28" i="1"/>
  <c r="AL28" i="1"/>
  <c r="AL40" i="1" s="1"/>
  <c r="AK28" i="1"/>
  <c r="AJ28" i="1"/>
  <c r="AI28" i="1"/>
  <c r="AH28" i="1"/>
  <c r="AH40" i="1" s="1"/>
  <c r="AG28" i="1"/>
  <c r="AG40" i="1" s="1"/>
  <c r="AF28" i="1"/>
  <c r="AE28" i="1"/>
  <c r="AE40" i="1" s="1"/>
  <c r="AD28" i="1"/>
  <c r="AB28" i="1"/>
  <c r="AB40" i="1" s="1"/>
  <c r="AA28" i="1"/>
  <c r="AA40" i="1" s="1"/>
  <c r="Z28" i="1"/>
  <c r="Z40" i="1" s="1"/>
  <c r="Y28" i="1"/>
  <c r="Y40" i="1" s="1"/>
  <c r="X28" i="1"/>
  <c r="X40" i="1" s="1"/>
  <c r="W28" i="1"/>
  <c r="W40" i="1" s="1"/>
  <c r="V28" i="1"/>
  <c r="V40" i="1" s="1"/>
  <c r="U28" i="1"/>
  <c r="T28" i="1"/>
  <c r="S28" i="1"/>
  <c r="S40" i="1" s="1"/>
  <c r="R28" i="1"/>
  <c r="R40" i="1" s="1"/>
  <c r="Q28" i="1"/>
  <c r="Q40" i="1" s="1"/>
  <c r="O28" i="1"/>
  <c r="O40" i="1" s="1"/>
  <c r="N28" i="1"/>
  <c r="M28" i="1"/>
  <c r="L28" i="1"/>
  <c r="L40" i="1" s="1"/>
  <c r="K28" i="1"/>
  <c r="J28" i="1"/>
  <c r="I28" i="1"/>
  <c r="H28" i="1"/>
  <c r="G28" i="1"/>
  <c r="F28" i="1"/>
  <c r="E28" i="1"/>
  <c r="E40" i="1" s="1"/>
  <c r="D28" i="1"/>
  <c r="D40" i="1" s="1"/>
  <c r="AO27" i="1"/>
  <c r="AO39" i="1" s="1"/>
  <c r="AN27" i="1"/>
  <c r="AN39" i="1" s="1"/>
  <c r="AM27" i="1"/>
  <c r="AM39" i="1" s="1"/>
  <c r="AL27" i="1"/>
  <c r="AL39" i="1" s="1"/>
  <c r="AK27" i="1"/>
  <c r="AK39" i="1" s="1"/>
  <c r="AJ27" i="1"/>
  <c r="AI27" i="1"/>
  <c r="AH27" i="1"/>
  <c r="AG27" i="1"/>
  <c r="AF27" i="1"/>
  <c r="AE27" i="1"/>
  <c r="AE39" i="1" s="1"/>
  <c r="AD27" i="1"/>
  <c r="AD39" i="1" s="1"/>
  <c r="AB27" i="1"/>
  <c r="AB39" i="1" s="1"/>
  <c r="AA27" i="1"/>
  <c r="AA39" i="1" s="1"/>
  <c r="Z27" i="1"/>
  <c r="Z39" i="1" s="1"/>
  <c r="Y27" i="1"/>
  <c r="Y39" i="1" s="1"/>
  <c r="X27" i="1"/>
  <c r="W27" i="1"/>
  <c r="V27" i="1"/>
  <c r="U27" i="1"/>
  <c r="T27" i="1"/>
  <c r="S27" i="1"/>
  <c r="S39" i="1" s="1"/>
  <c r="R27" i="1"/>
  <c r="Q27" i="1"/>
  <c r="Q39" i="1" s="1"/>
  <c r="O27" i="1"/>
  <c r="O39" i="1" s="1"/>
  <c r="N27" i="1"/>
  <c r="N39" i="1" s="1"/>
  <c r="M27" i="1"/>
  <c r="M39" i="1" s="1"/>
  <c r="L27" i="1"/>
  <c r="L39" i="1" s="1"/>
  <c r="K27" i="1"/>
  <c r="J27" i="1"/>
  <c r="I27" i="1"/>
  <c r="H27" i="1"/>
  <c r="G27" i="1"/>
  <c r="F27" i="1"/>
  <c r="E27" i="1"/>
  <c r="E39" i="1" s="1"/>
  <c r="D27" i="1"/>
  <c r="P27" i="1" s="1"/>
  <c r="AO26" i="1"/>
  <c r="AO38" i="1" s="1"/>
  <c r="AN26" i="1"/>
  <c r="AN38" i="1" s="1"/>
  <c r="AM26" i="1"/>
  <c r="AM38" i="1" s="1"/>
  <c r="AL26" i="1"/>
  <c r="AL38" i="1" s="1"/>
  <c r="AK26" i="1"/>
  <c r="AK38" i="1" s="1"/>
  <c r="AJ26" i="1"/>
  <c r="AJ38" i="1" s="1"/>
  <c r="AI26" i="1"/>
  <c r="AH26" i="1"/>
  <c r="AH38" i="1" s="1"/>
  <c r="AG26" i="1"/>
  <c r="AG38" i="1" s="1"/>
  <c r="AF26" i="1"/>
  <c r="AF38" i="1" s="1"/>
  <c r="AE26" i="1"/>
  <c r="AE38" i="1" s="1"/>
  <c r="AD26" i="1"/>
  <c r="AD38" i="1" s="1"/>
  <c r="AB26" i="1"/>
  <c r="AB38" i="1" s="1"/>
  <c r="AA26" i="1"/>
  <c r="AA38" i="1" s="1"/>
  <c r="Z26" i="1"/>
  <c r="Z38" i="1" s="1"/>
  <c r="Y26" i="1"/>
  <c r="Y38" i="1" s="1"/>
  <c r="X26" i="1"/>
  <c r="X38" i="1" s="1"/>
  <c r="W26" i="1"/>
  <c r="W38" i="1" s="1"/>
  <c r="V26" i="1"/>
  <c r="V38" i="1" s="1"/>
  <c r="U26" i="1"/>
  <c r="T26" i="1"/>
  <c r="S26" i="1"/>
  <c r="R26" i="1"/>
  <c r="R38" i="1" s="1"/>
  <c r="Q26" i="1"/>
  <c r="AC26" i="1" s="1"/>
  <c r="O26" i="1"/>
  <c r="N26" i="1"/>
  <c r="M26" i="1"/>
  <c r="L26" i="1"/>
  <c r="L38" i="1" s="1"/>
  <c r="K26" i="1"/>
  <c r="K38" i="1" s="1"/>
  <c r="J26" i="1"/>
  <c r="J38" i="1" s="1"/>
  <c r="I26" i="1"/>
  <c r="I38" i="1" s="1"/>
  <c r="H26" i="1"/>
  <c r="H38" i="1" s="1"/>
  <c r="G26" i="1"/>
  <c r="G38" i="1" s="1"/>
  <c r="F26" i="1"/>
  <c r="F38" i="1" s="1"/>
  <c r="E26" i="1"/>
  <c r="E38" i="1" s="1"/>
  <c r="D26" i="1"/>
  <c r="P26" i="1" s="1"/>
  <c r="AO25" i="1"/>
  <c r="AN25" i="1"/>
  <c r="AM25" i="1"/>
  <c r="AL25" i="1"/>
  <c r="AL37" i="1" s="1"/>
  <c r="AK25" i="1"/>
  <c r="AK37" i="1" s="1"/>
  <c r="AJ25" i="1"/>
  <c r="AJ37" i="1" s="1"/>
  <c r="AI25" i="1"/>
  <c r="AI37" i="1" s="1"/>
  <c r="AH25" i="1"/>
  <c r="AH37" i="1" s="1"/>
  <c r="AG25" i="1"/>
  <c r="AG37" i="1" s="1"/>
  <c r="AF25" i="1"/>
  <c r="AF37" i="1" s="1"/>
  <c r="AE25" i="1"/>
  <c r="AE37" i="1" s="1"/>
  <c r="AD25" i="1"/>
  <c r="AP25" i="1" s="1"/>
  <c r="AB25" i="1"/>
  <c r="AA25" i="1"/>
  <c r="Z25" i="1"/>
  <c r="Y25" i="1"/>
  <c r="Y37" i="1" s="1"/>
  <c r="X25" i="1"/>
  <c r="W25" i="1"/>
  <c r="W37" i="1" s="1"/>
  <c r="V25" i="1"/>
  <c r="V37" i="1" s="1"/>
  <c r="U25" i="1"/>
  <c r="U37" i="1" s="1"/>
  <c r="T25" i="1"/>
  <c r="T37" i="1" s="1"/>
  <c r="S25" i="1"/>
  <c r="S37" i="1" s="1"/>
  <c r="R25" i="1"/>
  <c r="Q25" i="1"/>
  <c r="AC25" i="1" s="1"/>
  <c r="O25" i="1"/>
  <c r="N25" i="1"/>
  <c r="M25" i="1"/>
  <c r="L25" i="1"/>
  <c r="L37" i="1" s="1"/>
  <c r="K25" i="1"/>
  <c r="K37" i="1" s="1"/>
  <c r="J25" i="1"/>
  <c r="J37" i="1" s="1"/>
  <c r="I25" i="1"/>
  <c r="I37" i="1" s="1"/>
  <c r="H25" i="1"/>
  <c r="H37" i="1" s="1"/>
  <c r="G25" i="1"/>
  <c r="G37" i="1" s="1"/>
  <c r="F25" i="1"/>
  <c r="F37" i="1" s="1"/>
  <c r="E25" i="1"/>
  <c r="D25" i="1"/>
  <c r="P25" i="1" s="1"/>
  <c r="AO24" i="1"/>
  <c r="AN24" i="1"/>
  <c r="AN36" i="1" s="1"/>
  <c r="AM24" i="1"/>
  <c r="AL24" i="1"/>
  <c r="AL36" i="1" s="1"/>
  <c r="AK24" i="1"/>
  <c r="AJ24" i="1"/>
  <c r="AI24" i="1"/>
  <c r="AH24" i="1"/>
  <c r="AH36" i="1" s="1"/>
  <c r="AG24" i="1"/>
  <c r="AG36" i="1" s="1"/>
  <c r="AF24" i="1"/>
  <c r="AE24" i="1"/>
  <c r="AE36" i="1" s="1"/>
  <c r="AD24" i="1"/>
  <c r="AB24" i="1"/>
  <c r="AA24" i="1"/>
  <c r="AA36" i="1" s="1"/>
  <c r="Z24" i="1"/>
  <c r="Z36" i="1" s="1"/>
  <c r="Y24" i="1"/>
  <c r="Y36" i="1" s="1"/>
  <c r="X24" i="1"/>
  <c r="X36" i="1" s="1"/>
  <c r="W24" i="1"/>
  <c r="W36" i="1" s="1"/>
  <c r="V24" i="1"/>
  <c r="V36" i="1" s="1"/>
  <c r="U24" i="1"/>
  <c r="T24" i="1"/>
  <c r="S24" i="1"/>
  <c r="S36" i="1" s="1"/>
  <c r="R24" i="1"/>
  <c r="R36" i="1" s="1"/>
  <c r="Q24" i="1"/>
  <c r="Q36" i="1" s="1"/>
  <c r="O24" i="1"/>
  <c r="O36" i="1" s="1"/>
  <c r="N24" i="1"/>
  <c r="M24" i="1"/>
  <c r="L24" i="1"/>
  <c r="L36" i="1" s="1"/>
  <c r="K24" i="1"/>
  <c r="J24" i="1"/>
  <c r="I24" i="1"/>
  <c r="H24" i="1"/>
  <c r="G24" i="1"/>
  <c r="F24" i="1"/>
  <c r="E24" i="1"/>
  <c r="E36" i="1" s="1"/>
  <c r="D24" i="1"/>
  <c r="D36" i="1" s="1"/>
  <c r="AO23" i="1"/>
  <c r="AO35" i="1" s="1"/>
  <c r="AN23" i="1"/>
  <c r="AN35" i="1" s="1"/>
  <c r="AM23" i="1"/>
  <c r="AM35" i="1" s="1"/>
  <c r="AL23" i="1"/>
  <c r="AL35" i="1" s="1"/>
  <c r="AK23" i="1"/>
  <c r="AJ23" i="1"/>
  <c r="AI23" i="1"/>
  <c r="AH23" i="1"/>
  <c r="AG23" i="1"/>
  <c r="AF23" i="1"/>
  <c r="AE23" i="1"/>
  <c r="AE35" i="1" s="1"/>
  <c r="AD23" i="1"/>
  <c r="AD35" i="1" s="1"/>
  <c r="AB23" i="1"/>
  <c r="AB35" i="1" s="1"/>
  <c r="AA23" i="1"/>
  <c r="AA35" i="1" s="1"/>
  <c r="Z23" i="1"/>
  <c r="Y23" i="1"/>
  <c r="Y35" i="1" s="1"/>
  <c r="X23" i="1"/>
  <c r="W23" i="1"/>
  <c r="V23" i="1"/>
  <c r="U23" i="1"/>
  <c r="T23" i="1"/>
  <c r="S23" i="1"/>
  <c r="S35" i="1" s="1"/>
  <c r="R23" i="1"/>
  <c r="R35" i="1" s="1"/>
  <c r="Q23" i="1"/>
  <c r="Q35" i="1" s="1"/>
  <c r="O35" i="1"/>
  <c r="N23" i="1"/>
  <c r="N35" i="1" s="1"/>
  <c r="M23" i="1"/>
  <c r="L23" i="1"/>
  <c r="K23" i="1"/>
  <c r="J23" i="1"/>
  <c r="I23" i="1"/>
  <c r="H23" i="1"/>
  <c r="G23" i="1"/>
  <c r="G35" i="1" s="1"/>
  <c r="F23" i="1"/>
  <c r="F35" i="1" s="1"/>
  <c r="E23" i="1"/>
  <c r="E35" i="1" s="1"/>
  <c r="D23" i="1"/>
  <c r="D35" i="1" s="1"/>
  <c r="AO22" i="1"/>
  <c r="AO34" i="1" s="1"/>
  <c r="AN22" i="1"/>
  <c r="AN34" i="1" s="1"/>
  <c r="AM22" i="1"/>
  <c r="AL22" i="1"/>
  <c r="AK22" i="1"/>
  <c r="AJ22" i="1"/>
  <c r="AI22" i="1"/>
  <c r="AH22" i="1"/>
  <c r="AH29" i="1" s="1"/>
  <c r="AG22" i="1"/>
  <c r="AF22" i="1"/>
  <c r="AF34" i="1" s="1"/>
  <c r="AE22" i="1"/>
  <c r="AE34" i="1" s="1"/>
  <c r="AD22" i="1"/>
  <c r="AD34" i="1" s="1"/>
  <c r="AB22" i="1"/>
  <c r="AB34" i="1" s="1"/>
  <c r="AA22" i="1"/>
  <c r="AA34" i="1" s="1"/>
  <c r="Z22" i="1"/>
  <c r="Y22" i="1"/>
  <c r="X22" i="1"/>
  <c r="W22" i="1"/>
  <c r="V22" i="1"/>
  <c r="V34" i="1" s="1"/>
  <c r="U22" i="1"/>
  <c r="T22" i="1"/>
  <c r="T34" i="1" s="1"/>
  <c r="S22" i="1"/>
  <c r="S34" i="1" s="1"/>
  <c r="R22" i="1"/>
  <c r="R34" i="1" s="1"/>
  <c r="Q22" i="1"/>
  <c r="Q34" i="1" s="1"/>
  <c r="O22" i="1"/>
  <c r="O34" i="1" s="1"/>
  <c r="N22" i="1"/>
  <c r="M22" i="1"/>
  <c r="L22" i="1"/>
  <c r="K22" i="1"/>
  <c r="J22" i="1"/>
  <c r="J34" i="1" s="1"/>
  <c r="I22" i="1"/>
  <c r="I34" i="1" s="1"/>
  <c r="H22" i="1"/>
  <c r="G22" i="1"/>
  <c r="F22" i="1"/>
  <c r="F34" i="1" s="1"/>
  <c r="E22" i="1"/>
  <c r="E34" i="1" s="1"/>
  <c r="D22" i="1"/>
  <c r="D34" i="1" s="1"/>
  <c r="AO21" i="1"/>
  <c r="AN21" i="1"/>
  <c r="AM21" i="1"/>
  <c r="AL21" i="1"/>
  <c r="AK21" i="1"/>
  <c r="AK33" i="1" s="1"/>
  <c r="AJ21" i="1"/>
  <c r="AJ33" i="1" s="1"/>
  <c r="AI21" i="1"/>
  <c r="AI33" i="1" s="1"/>
  <c r="AH21" i="1"/>
  <c r="AG21" i="1"/>
  <c r="AG33" i="1" s="1"/>
  <c r="AF21" i="1"/>
  <c r="AF33" i="1" s="1"/>
  <c r="AE21" i="1"/>
  <c r="AE33" i="1" s="1"/>
  <c r="AD21" i="1"/>
  <c r="AB21" i="1"/>
  <c r="AA21" i="1"/>
  <c r="Z21" i="1"/>
  <c r="Y21" i="1"/>
  <c r="X21" i="1"/>
  <c r="W21" i="1"/>
  <c r="W33" i="1" s="1"/>
  <c r="V21" i="1"/>
  <c r="V33" i="1" s="1"/>
  <c r="U21" i="1"/>
  <c r="U33" i="1" s="1"/>
  <c r="T21" i="1"/>
  <c r="T33" i="1" s="1"/>
  <c r="S21" i="1"/>
  <c r="S33" i="1" s="1"/>
  <c r="R21" i="1"/>
  <c r="Q21" i="1"/>
  <c r="O21" i="1"/>
  <c r="N21" i="1"/>
  <c r="M21" i="1"/>
  <c r="M33" i="1" s="1"/>
  <c r="L21" i="1"/>
  <c r="L33" i="1" s="1"/>
  <c r="K21" i="1"/>
  <c r="K33" i="1" s="1"/>
  <c r="J21" i="1"/>
  <c r="J33" i="1" s="1"/>
  <c r="I21" i="1"/>
  <c r="H21" i="1"/>
  <c r="H33" i="1" s="1"/>
  <c r="G21" i="1"/>
  <c r="G33" i="1" s="1"/>
  <c r="F21" i="1"/>
  <c r="E21" i="1"/>
  <c r="D21" i="1"/>
  <c r="D33" i="1" s="1"/>
  <c r="AO20" i="1"/>
  <c r="AN20" i="1"/>
  <c r="AN32" i="1" s="1"/>
  <c r="AN41" i="1" s="1"/>
  <c r="AM20" i="1"/>
  <c r="AM29" i="1" s="1"/>
  <c r="AL20" i="1"/>
  <c r="AL29" i="1" s="1"/>
  <c r="AK20" i="1"/>
  <c r="AK29" i="1" s="1"/>
  <c r="AJ20" i="1"/>
  <c r="AJ32" i="1" s="1"/>
  <c r="AI20" i="1"/>
  <c r="AH20" i="1"/>
  <c r="AH32" i="1" s="1"/>
  <c r="AG20" i="1"/>
  <c r="AG32" i="1" s="1"/>
  <c r="AF20" i="1"/>
  <c r="AE20" i="1"/>
  <c r="AD20" i="1"/>
  <c r="AB20" i="1"/>
  <c r="AA20" i="1"/>
  <c r="Z20" i="1"/>
  <c r="Y20" i="1"/>
  <c r="Y32" i="1" s="1"/>
  <c r="X20" i="1"/>
  <c r="X32" i="1" s="1"/>
  <c r="W20" i="1"/>
  <c r="W32" i="1" s="1"/>
  <c r="W41" i="1" s="1"/>
  <c r="V20" i="1"/>
  <c r="U20" i="1"/>
  <c r="U32" i="1" s="1"/>
  <c r="T20" i="1"/>
  <c r="S20" i="1"/>
  <c r="R20" i="1"/>
  <c r="Q20" i="1"/>
  <c r="O20" i="1"/>
  <c r="N20" i="1"/>
  <c r="M20" i="1"/>
  <c r="M29" i="1" s="1"/>
  <c r="K161" i="2" s="1"/>
  <c r="L20" i="1"/>
  <c r="L32" i="1" s="1"/>
  <c r="K20" i="1"/>
  <c r="K32" i="1" s="1"/>
  <c r="K41" i="1" s="1"/>
  <c r="J20" i="1"/>
  <c r="J32" i="1" s="1"/>
  <c r="J41" i="1" s="1"/>
  <c r="I20" i="1"/>
  <c r="I32" i="1" s="1"/>
  <c r="H20" i="1"/>
  <c r="G20" i="1"/>
  <c r="G32" i="1" s="1"/>
  <c r="F20" i="1"/>
  <c r="E20" i="1"/>
  <c r="E32" i="1" s="1"/>
  <c r="D20" i="1"/>
  <c r="AJ16" i="1"/>
  <c r="AI16" i="1"/>
  <c r="X16" i="1"/>
  <c r="W16" i="1"/>
  <c r="V16" i="1"/>
  <c r="Q16" i="1"/>
  <c r="O16" i="1"/>
  <c r="N16" i="1"/>
  <c r="L16" i="1"/>
  <c r="J16" i="1"/>
  <c r="I16" i="1"/>
  <c r="AO14" i="1"/>
  <c r="AO16" i="1" s="1"/>
  <c r="AN14" i="1"/>
  <c r="AN16" i="1" s="1"/>
  <c r="AM14" i="1"/>
  <c r="AM16" i="1" s="1"/>
  <c r="AL14" i="1"/>
  <c r="AL16" i="1" s="1"/>
  <c r="AK14" i="1"/>
  <c r="AK16" i="1" s="1"/>
  <c r="AJ14" i="1"/>
  <c r="AI14" i="1"/>
  <c r="AH14" i="1"/>
  <c r="AH16" i="1" s="1"/>
  <c r="AG14" i="1"/>
  <c r="AG16" i="1" s="1"/>
  <c r="AF14" i="1"/>
  <c r="AF16" i="1" s="1"/>
  <c r="AE14" i="1"/>
  <c r="AE16" i="1" s="1"/>
  <c r="AD14" i="1"/>
  <c r="AB14" i="1"/>
  <c r="AB16" i="1" s="1"/>
  <c r="AA14" i="1"/>
  <c r="AA16" i="1" s="1"/>
  <c r="Z14" i="1"/>
  <c r="Z16" i="1" s="1"/>
  <c r="Y14" i="1"/>
  <c r="Y16" i="1" s="1"/>
  <c r="X14" i="1"/>
  <c r="W14" i="1"/>
  <c r="V14" i="1"/>
  <c r="U14" i="1"/>
  <c r="U16" i="1" s="1"/>
  <c r="T14" i="1"/>
  <c r="T16" i="1" s="1"/>
  <c r="S14" i="1"/>
  <c r="S16" i="1" s="1"/>
  <c r="R14" i="1"/>
  <c r="R16" i="1" s="1"/>
  <c r="Q14" i="1"/>
  <c r="O14" i="1"/>
  <c r="N14" i="1"/>
  <c r="M14" i="1"/>
  <c r="M16" i="1" s="1"/>
  <c r="L14" i="1"/>
  <c r="K14" i="1"/>
  <c r="K16" i="1" s="1"/>
  <c r="J14" i="1"/>
  <c r="I14" i="1"/>
  <c r="H14" i="1"/>
  <c r="H16" i="1" s="1"/>
  <c r="G14" i="1"/>
  <c r="G16" i="1" s="1"/>
  <c r="F14" i="1"/>
  <c r="F16" i="1" s="1"/>
  <c r="E14" i="1"/>
  <c r="E16" i="1" s="1"/>
  <c r="D14" i="1"/>
  <c r="D16" i="1" s="1"/>
  <c r="AP12" i="1"/>
  <c r="AC12" i="1"/>
  <c r="P12" i="1"/>
  <c r="AP11" i="1"/>
  <c r="AC11" i="1"/>
  <c r="P11" i="1"/>
  <c r="AP10" i="1"/>
  <c r="AC10" i="1"/>
  <c r="P10" i="1"/>
  <c r="AP9" i="1"/>
  <c r="AC9" i="1"/>
  <c r="P9" i="1"/>
  <c r="AP8" i="1"/>
  <c r="AC8" i="1"/>
  <c r="P8" i="1"/>
  <c r="AP7" i="1"/>
  <c r="AC7" i="1"/>
  <c r="P7" i="1"/>
  <c r="AP6" i="1"/>
  <c r="AC6" i="1"/>
  <c r="P6" i="1"/>
  <c r="AP5" i="1"/>
  <c r="AC5" i="1"/>
  <c r="P5" i="1"/>
  <c r="AP4" i="1"/>
  <c r="AC4" i="1"/>
  <c r="AC14" i="1" s="1"/>
  <c r="P4" i="1"/>
  <c r="AP2" i="1"/>
  <c r="AO4" i="4" s="1"/>
  <c r="AC2" i="1"/>
  <c r="AB4" i="4" s="1"/>
  <c r="P2" i="1"/>
  <c r="O4" i="4" s="1"/>
  <c r="L18" i="4" l="1"/>
  <c r="M43" i="1" s="1"/>
  <c r="K156" i="2" s="1"/>
  <c r="K157" i="2"/>
  <c r="D8" i="4"/>
  <c r="D24" i="4" s="1"/>
  <c r="N18" i="4"/>
  <c r="O43" i="1" s="1"/>
  <c r="M156" i="2" s="1"/>
  <c r="M157" i="2"/>
  <c r="M19" i="4"/>
  <c r="E157" i="2"/>
  <c r="F8" i="4"/>
  <c r="F9" i="4" s="1"/>
  <c r="F26" i="4" s="1"/>
  <c r="C157" i="2"/>
  <c r="T157" i="2"/>
  <c r="V8" i="4"/>
  <c r="V18" i="4"/>
  <c r="W43" i="1" s="1"/>
  <c r="T156" i="2" s="1"/>
  <c r="T19" i="4"/>
  <c r="S11" i="4"/>
  <c r="S13" i="4" s="1"/>
  <c r="Q157" i="2"/>
  <c r="O157" i="2"/>
  <c r="J8" i="4"/>
  <c r="J24" i="4" s="1"/>
  <c r="I157" i="2"/>
  <c r="J18" i="4"/>
  <c r="K43" i="1" s="1"/>
  <c r="I156" i="2" s="1"/>
  <c r="G157" i="2"/>
  <c r="H8" i="4"/>
  <c r="H19" i="4"/>
  <c r="C11" i="4"/>
  <c r="C13" i="4" s="1"/>
  <c r="B157" i="2"/>
  <c r="O41" i="1"/>
  <c r="U34" i="1"/>
  <c r="U29" i="1"/>
  <c r="M41" i="1"/>
  <c r="AG29" i="1"/>
  <c r="AG34" i="1"/>
  <c r="AG41" i="1" s="1"/>
  <c r="V32" i="1"/>
  <c r="V29" i="1"/>
  <c r="AI32" i="1"/>
  <c r="AI41" i="1" s="1"/>
  <c r="AI29" i="1"/>
  <c r="I33" i="1"/>
  <c r="I41" i="1" s="1"/>
  <c r="I29" i="1"/>
  <c r="G161" i="2" s="1"/>
  <c r="Y41" i="1"/>
  <c r="G41" i="1"/>
  <c r="AP14" i="1"/>
  <c r="AP23" i="1"/>
  <c r="J29" i="1"/>
  <c r="H41" i="1"/>
  <c r="AH34" i="1"/>
  <c r="I8" i="4"/>
  <c r="I19" i="4"/>
  <c r="H157" i="2"/>
  <c r="I18" i="4"/>
  <c r="J43" i="1" s="1"/>
  <c r="H156" i="2" s="1"/>
  <c r="D29" i="1"/>
  <c r="B161" i="2" s="1"/>
  <c r="L11" i="4"/>
  <c r="L9" i="4"/>
  <c r="L26" i="4" s="1"/>
  <c r="Q29" i="1"/>
  <c r="P21" i="1"/>
  <c r="AC21" i="1"/>
  <c r="AD29" i="1"/>
  <c r="P22" i="1"/>
  <c r="AP27" i="1"/>
  <c r="AL32" i="1"/>
  <c r="AL41" i="1" s="1"/>
  <c r="E9" i="3"/>
  <c r="C10" i="6" s="1"/>
  <c r="B10" i="6"/>
  <c r="AE24" i="4"/>
  <c r="S24" i="4"/>
  <c r="R24" i="4"/>
  <c r="F24" i="4"/>
  <c r="Q24" i="4"/>
  <c r="AN24" i="4"/>
  <c r="P24" i="4"/>
  <c r="AL24" i="4"/>
  <c r="AJ24" i="4"/>
  <c r="X24" i="4"/>
  <c r="L24" i="4"/>
  <c r="B26" i="4"/>
  <c r="AH24" i="4"/>
  <c r="AG24" i="4"/>
  <c r="I24" i="4"/>
  <c r="AF24" i="4"/>
  <c r="AA24" i="4"/>
  <c r="C24" i="4"/>
  <c r="AK24" i="4"/>
  <c r="B7" i="4"/>
  <c r="U24" i="4"/>
  <c r="K8" i="4"/>
  <c r="J157" i="2"/>
  <c r="K19" i="4"/>
  <c r="K18" i="4"/>
  <c r="L43" i="1" s="1"/>
  <c r="J156" i="2" s="1"/>
  <c r="X19" i="4"/>
  <c r="X18" i="4"/>
  <c r="Y43" i="1" s="1"/>
  <c r="V156" i="2" s="1"/>
  <c r="X8" i="4"/>
  <c r="V157" i="2"/>
  <c r="Q11" i="4"/>
  <c r="Q9" i="4"/>
  <c r="Q26" i="4" s="1"/>
  <c r="X41" i="1"/>
  <c r="P14" i="1"/>
  <c r="D38" i="1"/>
  <c r="S29" i="1"/>
  <c r="AB29" i="1"/>
  <c r="AC27" i="1"/>
  <c r="AC22" i="1"/>
  <c r="P28" i="1"/>
  <c r="W29" i="1"/>
  <c r="S41" i="1"/>
  <c r="AM32" i="1"/>
  <c r="AM41" i="1" s="1"/>
  <c r="D11" i="3"/>
  <c r="R11" i="4"/>
  <c r="R9" i="4"/>
  <c r="R26" i="4" s="1"/>
  <c r="AP24" i="1"/>
  <c r="Z29" i="1"/>
  <c r="AP26" i="1"/>
  <c r="AJ29" i="1"/>
  <c r="AJ11" i="4"/>
  <c r="AJ9" i="4"/>
  <c r="AJ26" i="4" s="1"/>
  <c r="AA29" i="1"/>
  <c r="AF41" i="1"/>
  <c r="P20" i="1"/>
  <c r="AK32" i="1"/>
  <c r="AK41" i="1" s="1"/>
  <c r="AJ19" i="4"/>
  <c r="AG157" i="2"/>
  <c r="AJ18" i="4"/>
  <c r="AK43" i="1" s="1"/>
  <c r="AG156" i="2" s="1"/>
  <c r="AP28" i="1"/>
  <c r="X29" i="1"/>
  <c r="T41" i="1"/>
  <c r="S26" i="4"/>
  <c r="S12" i="4"/>
  <c r="S14" i="4" s="1"/>
  <c r="P24" i="1"/>
  <c r="K29" i="1"/>
  <c r="I161" i="2" s="1"/>
  <c r="L41" i="1"/>
  <c r="Q66" i="6"/>
  <c r="AE41" i="1"/>
  <c r="O29" i="1"/>
  <c r="M161" i="2" s="1"/>
  <c r="T29" i="1"/>
  <c r="AK9" i="4"/>
  <c r="AK26" i="4" s="1"/>
  <c r="AK11" i="4"/>
  <c r="U66" i="6"/>
  <c r="E29" i="1"/>
  <c r="C161" i="2" s="1"/>
  <c r="AP22" i="1"/>
  <c r="G29" i="1"/>
  <c r="E161" i="2" s="1"/>
  <c r="D32" i="1"/>
  <c r="AD16" i="1"/>
  <c r="P23" i="1"/>
  <c r="H29" i="1"/>
  <c r="Y29" i="1"/>
  <c r="E41" i="1"/>
  <c r="Q38" i="1"/>
  <c r="Q41" i="1" s="1"/>
  <c r="D39" i="1"/>
  <c r="Q38" i="6"/>
  <c r="AJ41" i="1"/>
  <c r="L29" i="1"/>
  <c r="N29" i="1"/>
  <c r="S66" i="6"/>
  <c r="AN29" i="1"/>
  <c r="AI19" i="4"/>
  <c r="AI8" i="4"/>
  <c r="AF157" i="2"/>
  <c r="AO29" i="1"/>
  <c r="W18" i="4"/>
  <c r="X43" i="1" s="1"/>
  <c r="U156" i="2" s="1"/>
  <c r="W19" i="4"/>
  <c r="W8" i="4"/>
  <c r="AL9" i="4"/>
  <c r="AL26" i="4" s="1"/>
  <c r="AL11" i="4"/>
  <c r="AP20" i="1"/>
  <c r="R29" i="1"/>
  <c r="F29" i="1"/>
  <c r="U41" i="1"/>
  <c r="AH41" i="1"/>
  <c r="AC23" i="1"/>
  <c r="AE29" i="1"/>
  <c r="F41" i="1"/>
  <c r="Z32" i="1"/>
  <c r="Z41" i="1" s="1"/>
  <c r="G33" i="6"/>
  <c r="G29" i="6"/>
  <c r="G58" i="6"/>
  <c r="G28" i="6"/>
  <c r="G31" i="6"/>
  <c r="G30" i="6"/>
  <c r="G27" i="6"/>
  <c r="AG26" i="4"/>
  <c r="AB30" i="4"/>
  <c r="AC20" i="1"/>
  <c r="AC24" i="1"/>
  <c r="AC28" i="1"/>
  <c r="AD36" i="1"/>
  <c r="AD40" i="1"/>
  <c r="O29" i="4"/>
  <c r="F33" i="1"/>
  <c r="P33" i="1" s="1"/>
  <c r="R33" i="1"/>
  <c r="R41" i="1" s="1"/>
  <c r="AD33" i="1"/>
  <c r="AP33" i="1" s="1"/>
  <c r="AG12" i="4"/>
  <c r="AG14" i="4" s="1"/>
  <c r="AG13" i="4"/>
  <c r="AO31" i="4"/>
  <c r="AP21" i="1"/>
  <c r="AE26" i="4"/>
  <c r="B5" i="6"/>
  <c r="AD18" i="4"/>
  <c r="AE43" i="1" s="1"/>
  <c r="AA156" i="2" s="1"/>
  <c r="AD8" i="4"/>
  <c r="AD19" i="4"/>
  <c r="T9" i="4"/>
  <c r="T26" i="4" s="1"/>
  <c r="T11" i="4"/>
  <c r="AA12" i="4"/>
  <c r="AA13" i="4"/>
  <c r="E19" i="4"/>
  <c r="E18" i="4"/>
  <c r="F43" i="1" s="1"/>
  <c r="D156" i="2" s="1"/>
  <c r="D157" i="2"/>
  <c r="R18" i="4"/>
  <c r="S43" i="1" s="1"/>
  <c r="P156" i="2" s="1"/>
  <c r="P157" i="2"/>
  <c r="U38" i="6"/>
  <c r="AO33" i="4"/>
  <c r="G18" i="4"/>
  <c r="H43" i="1" s="1"/>
  <c r="F156" i="2" s="1"/>
  <c r="G19" i="4"/>
  <c r="G8" i="4"/>
  <c r="AE13" i="4"/>
  <c r="AE12" i="4"/>
  <c r="AE14" i="4" s="1"/>
  <c r="U8" i="4"/>
  <c r="U18" i="4"/>
  <c r="V43" i="1" s="1"/>
  <c r="S156" i="2" s="1"/>
  <c r="E8" i="4"/>
  <c r="E24" i="4" s="1"/>
  <c r="R19" i="4"/>
  <c r="N8" i="4"/>
  <c r="N24" i="4" s="1"/>
  <c r="AF26" i="4"/>
  <c r="AE18" i="4"/>
  <c r="AF43" i="1" s="1"/>
  <c r="AB156" i="2" s="1"/>
  <c r="M38" i="6"/>
  <c r="L19" i="4"/>
  <c r="AO30" i="4"/>
  <c r="Y66" i="6"/>
  <c r="M8" i="4"/>
  <c r="M18" i="4"/>
  <c r="N43" i="1" s="1"/>
  <c r="L156" i="2" s="1"/>
  <c r="Z8" i="4"/>
  <c r="Z24" i="4" s="1"/>
  <c r="Z19" i="4"/>
  <c r="D19" i="4"/>
  <c r="Y19" i="4"/>
  <c r="AB31" i="4"/>
  <c r="Y8" i="4"/>
  <c r="AF11" i="4"/>
  <c r="F19" i="4"/>
  <c r="O32" i="4"/>
  <c r="AB32" i="4"/>
  <c r="AO32" i="4"/>
  <c r="AC66" i="6"/>
  <c r="P8" i="4"/>
  <c r="P19" i="4"/>
  <c r="Q19" i="4"/>
  <c r="Q18" i="4"/>
  <c r="AC19" i="4"/>
  <c r="AC8" i="4"/>
  <c r="AC18" i="4"/>
  <c r="AN9" i="4"/>
  <c r="AN26" i="4" s="1"/>
  <c r="Z18" i="4"/>
  <c r="AA43" i="1" s="1"/>
  <c r="X156" i="2" s="1"/>
  <c r="AG38" i="6"/>
  <c r="AH8" i="4"/>
  <c r="C18" i="4"/>
  <c r="AA18" i="4"/>
  <c r="AB43" i="1" s="1"/>
  <c r="Y156" i="2" s="1"/>
  <c r="AM18" i="4"/>
  <c r="AN43" i="1" s="1"/>
  <c r="AJ156" i="2" s="1"/>
  <c r="AM8" i="4"/>
  <c r="AA14" i="4"/>
  <c r="C19" i="4"/>
  <c r="F11" i="4" l="1"/>
  <c r="D9" i="4"/>
  <c r="D26" i="4" s="1"/>
  <c r="D11" i="4"/>
  <c r="D12" i="4" s="1"/>
  <c r="D14" i="4" s="1"/>
  <c r="C12" i="4"/>
  <c r="C14" i="4" s="1"/>
  <c r="V9" i="4"/>
  <c r="V26" i="4" s="1"/>
  <c r="V24" i="4"/>
  <c r="V11" i="4"/>
  <c r="J11" i="4"/>
  <c r="J25" i="4" s="1"/>
  <c r="J9" i="4"/>
  <c r="J26" i="4" s="1"/>
  <c r="H9" i="4"/>
  <c r="H26" i="4" s="1"/>
  <c r="H11" i="4"/>
  <c r="H24" i="4"/>
  <c r="AC41" i="1"/>
  <c r="L13" i="4"/>
  <c r="L12" i="4"/>
  <c r="L14" i="4" s="1"/>
  <c r="AC11" i="4"/>
  <c r="AC9" i="4"/>
  <c r="B12" i="6"/>
  <c r="E11" i="3"/>
  <c r="C12" i="6" s="1"/>
  <c r="O18" i="4"/>
  <c r="D43" i="1"/>
  <c r="B156" i="2" s="1"/>
  <c r="AM25" i="4"/>
  <c r="AA25" i="4"/>
  <c r="C25" i="4"/>
  <c r="AL25" i="4"/>
  <c r="AK25" i="4"/>
  <c r="AJ25" i="4"/>
  <c r="X25" i="4"/>
  <c r="L25" i="4"/>
  <c r="B27" i="4"/>
  <c r="AH25" i="4"/>
  <c r="V25" i="4"/>
  <c r="AF25" i="4"/>
  <c r="T25" i="4"/>
  <c r="R25" i="4"/>
  <c r="Q25" i="4"/>
  <c r="AN25" i="4"/>
  <c r="P25" i="4"/>
  <c r="AI25" i="4"/>
  <c r="AG25" i="4"/>
  <c r="S25" i="4"/>
  <c r="F25" i="4"/>
  <c r="AC25" i="4"/>
  <c r="AE25" i="4"/>
  <c r="AD25" i="4"/>
  <c r="D25" i="4"/>
  <c r="K11" i="4"/>
  <c r="K25" i="4" s="1"/>
  <c r="K9" i="4"/>
  <c r="K26" i="4" s="1"/>
  <c r="R13" i="4"/>
  <c r="R12" i="4"/>
  <c r="R14" i="4" s="1"/>
  <c r="G9" i="4"/>
  <c r="G26" i="4" s="1"/>
  <c r="G11" i="4"/>
  <c r="AK12" i="4"/>
  <c r="AK14" i="4" s="1"/>
  <c r="AK13" i="4"/>
  <c r="O19" i="4"/>
  <c r="AB19" i="4"/>
  <c r="P11" i="4"/>
  <c r="P9" i="4"/>
  <c r="U11" i="4"/>
  <c r="U25" i="4" s="1"/>
  <c r="U9" i="4"/>
  <c r="U26" i="4" s="1"/>
  <c r="W11" i="4"/>
  <c r="W9" i="4"/>
  <c r="W26" i="4" s="1"/>
  <c r="W24" i="4"/>
  <c r="D41" i="1"/>
  <c r="P32" i="1"/>
  <c r="G24" i="4"/>
  <c r="AC29" i="1"/>
  <c r="AM9" i="4"/>
  <c r="AM26" i="4" s="1"/>
  <c r="AM11" i="4"/>
  <c r="AM24" i="4"/>
  <c r="AO18" i="4"/>
  <c r="AD43" i="1"/>
  <c r="Z156" i="2" s="1"/>
  <c r="M9" i="4"/>
  <c r="M26" i="4" s="1"/>
  <c r="M11" i="4"/>
  <c r="M25" i="4" s="1"/>
  <c r="AI11" i="4"/>
  <c r="AI9" i="4"/>
  <c r="AI26" i="4" s="1"/>
  <c r="AI24" i="4"/>
  <c r="AD41" i="1"/>
  <c r="Q12" i="4"/>
  <c r="Q14" i="4" s="1"/>
  <c r="Q13" i="4"/>
  <c r="Z23" i="4"/>
  <c r="V23" i="4"/>
  <c r="T23" i="4"/>
  <c r="P23" i="4"/>
  <c r="M23" i="4"/>
  <c r="AM23" i="4"/>
  <c r="G23" i="4"/>
  <c r="AN23" i="4"/>
  <c r="I23" i="4"/>
  <c r="AI23" i="4"/>
  <c r="AG23" i="4"/>
  <c r="AC23" i="4"/>
  <c r="AA23" i="4"/>
  <c r="N23" i="4"/>
  <c r="C23" i="4"/>
  <c r="AB18" i="4"/>
  <c r="R43" i="1"/>
  <c r="O156" i="2" s="1"/>
  <c r="AF12" i="4"/>
  <c r="AF14" i="4" s="1"/>
  <c r="AF13" i="4"/>
  <c r="N11" i="4"/>
  <c r="N9" i="4"/>
  <c r="N26" i="4" s="1"/>
  <c r="AC33" i="1"/>
  <c r="K24" i="4"/>
  <c r="AA26" i="4"/>
  <c r="C26" i="4"/>
  <c r="AC24" i="4"/>
  <c r="AO24" i="4" s="1"/>
  <c r="I11" i="4"/>
  <c r="I25" i="4" s="1"/>
  <c r="I9" i="4"/>
  <c r="I26" i="4" s="1"/>
  <c r="D12" i="3"/>
  <c r="AJ13" i="4"/>
  <c r="AJ12" i="4"/>
  <c r="AJ14" i="4" s="1"/>
  <c r="X11" i="4"/>
  <c r="X9" i="4"/>
  <c r="X26" i="4" s="1"/>
  <c r="M24" i="4"/>
  <c r="AP32" i="1"/>
  <c r="T12" i="4"/>
  <c r="T14" i="4" s="1"/>
  <c r="T13" i="4"/>
  <c r="AB24" i="4"/>
  <c r="Z9" i="4"/>
  <c r="Z26" i="4" s="1"/>
  <c r="Z11" i="4"/>
  <c r="D13" i="4"/>
  <c r="AD11" i="4"/>
  <c r="AD9" i="4"/>
  <c r="AD26" i="4" s="1"/>
  <c r="P29" i="1"/>
  <c r="AO19" i="4"/>
  <c r="F12" i="4"/>
  <c r="F14" i="4" s="1"/>
  <c r="F13" i="4"/>
  <c r="V41" i="1"/>
  <c r="AC32" i="1"/>
  <c r="Y9" i="4"/>
  <c r="Y26" i="4" s="1"/>
  <c r="Y11" i="4"/>
  <c r="Y25" i="4" s="1"/>
  <c r="AP29" i="1"/>
  <c r="AH11" i="4"/>
  <c r="AH9" i="4"/>
  <c r="AH26" i="4" s="1"/>
  <c r="E9" i="4"/>
  <c r="E11" i="4"/>
  <c r="E25" i="4" s="1"/>
  <c r="AL13" i="4"/>
  <c r="AL12" i="4"/>
  <c r="AL14" i="4" s="1"/>
  <c r="Y24" i="4"/>
  <c r="AD24" i="4"/>
  <c r="V13" i="4" l="1"/>
  <c r="V12" i="4"/>
  <c r="V14" i="4" s="1"/>
  <c r="O24" i="4"/>
  <c r="J12" i="4"/>
  <c r="J14" i="4" s="1"/>
  <c r="J13" i="4"/>
  <c r="H13" i="4"/>
  <c r="H12" i="4"/>
  <c r="H14" i="4" s="1"/>
  <c r="H25" i="4"/>
  <c r="AE27" i="4"/>
  <c r="AE34" i="4" s="1"/>
  <c r="AF48" i="1" s="1"/>
  <c r="AF61" i="1" s="1"/>
  <c r="S27" i="4"/>
  <c r="S34" i="4" s="1"/>
  <c r="T48" i="1" s="1"/>
  <c r="T61" i="1" s="1"/>
  <c r="R27" i="4"/>
  <c r="R34" i="4" s="1"/>
  <c r="S48" i="1" s="1"/>
  <c r="S61" i="1" s="1"/>
  <c r="F27" i="4"/>
  <c r="F34" i="4" s="1"/>
  <c r="G48" i="1" s="1"/>
  <c r="G61" i="1" s="1"/>
  <c r="Q27" i="4"/>
  <c r="Q34" i="4" s="1"/>
  <c r="R48" i="1" s="1"/>
  <c r="R61" i="1" s="1"/>
  <c r="AN27" i="4"/>
  <c r="AN34" i="4" s="1"/>
  <c r="AO48" i="1" s="1"/>
  <c r="AO61" i="1" s="1"/>
  <c r="P27" i="4"/>
  <c r="D27" i="4"/>
  <c r="D34" i="4" s="1"/>
  <c r="E48" i="1" s="1"/>
  <c r="E61" i="1" s="1"/>
  <c r="AL27" i="4"/>
  <c r="AL34" i="4" s="1"/>
  <c r="AM48" i="1" s="1"/>
  <c r="AM61" i="1" s="1"/>
  <c r="AJ27" i="4"/>
  <c r="AJ34" i="4" s="1"/>
  <c r="AK48" i="1" s="1"/>
  <c r="AK61" i="1" s="1"/>
  <c r="X27" i="4"/>
  <c r="L27" i="4"/>
  <c r="L34" i="4" s="1"/>
  <c r="M48" i="1" s="1"/>
  <c r="M61" i="1" s="1"/>
  <c r="AH27" i="4"/>
  <c r="AH34" i="4" s="1"/>
  <c r="AI48" i="1" s="1"/>
  <c r="AI61" i="1" s="1"/>
  <c r="AG27" i="4"/>
  <c r="AG34" i="4" s="1"/>
  <c r="AH48" i="1" s="1"/>
  <c r="AH61" i="1" s="1"/>
  <c r="AF27" i="4"/>
  <c r="AF34" i="4" s="1"/>
  <c r="AG48" i="1" s="1"/>
  <c r="AG61" i="1" s="1"/>
  <c r="H27" i="4"/>
  <c r="H34" i="4" s="1"/>
  <c r="I48" i="1" s="1"/>
  <c r="I61" i="1" s="1"/>
  <c r="AA27" i="4"/>
  <c r="C27" i="4"/>
  <c r="C34" i="4" s="1"/>
  <c r="AK27" i="4"/>
  <c r="AK34" i="4" s="1"/>
  <c r="AL48" i="1" s="1"/>
  <c r="AL61" i="1" s="1"/>
  <c r="W27" i="4"/>
  <c r="W34" i="4" s="1"/>
  <c r="X48" i="1" s="1"/>
  <c r="X61" i="1" s="1"/>
  <c r="V27" i="4"/>
  <c r="V34" i="4" s="1"/>
  <c r="W48" i="1" s="1"/>
  <c r="W61" i="1" s="1"/>
  <c r="T27" i="4"/>
  <c r="T34" i="4" s="1"/>
  <c r="U48" i="1" s="1"/>
  <c r="U61" i="1" s="1"/>
  <c r="AP41" i="1"/>
  <c r="Z13" i="4"/>
  <c r="Z12" i="4"/>
  <c r="Z14" i="4" s="1"/>
  <c r="AC26" i="4"/>
  <c r="AO9" i="4"/>
  <c r="AM12" i="4"/>
  <c r="AM14" i="4" s="1"/>
  <c r="AM13" i="4"/>
  <c r="P41" i="1"/>
  <c r="AC13" i="4"/>
  <c r="AC12" i="4"/>
  <c r="AO11" i="4"/>
  <c r="I13" i="4"/>
  <c r="I12" i="4"/>
  <c r="I14" i="4" s="1"/>
  <c r="W13" i="4"/>
  <c r="W12" i="4"/>
  <c r="W14" i="4" s="1"/>
  <c r="E13" i="4"/>
  <c r="E12" i="4"/>
  <c r="E27" i="4" s="1"/>
  <c r="AI12" i="4"/>
  <c r="AI14" i="4" s="1"/>
  <c r="AI13" i="4"/>
  <c r="E26" i="4"/>
  <c r="O9" i="4"/>
  <c r="M12" i="4"/>
  <c r="M14" i="4" s="1"/>
  <c r="M13" i="4"/>
  <c r="N12" i="4"/>
  <c r="N14" i="4" s="1"/>
  <c r="N13" i="4"/>
  <c r="B13" i="6"/>
  <c r="D13" i="3"/>
  <c r="E12" i="3"/>
  <c r="G13" i="4"/>
  <c r="G12" i="4"/>
  <c r="G14" i="4" s="1"/>
  <c r="U12" i="4"/>
  <c r="U14" i="4" s="1"/>
  <c r="U13" i="4"/>
  <c r="G25" i="4"/>
  <c r="AH13" i="4"/>
  <c r="AH12" i="4"/>
  <c r="AH14" i="4" s="1"/>
  <c r="X34" i="4"/>
  <c r="Y48" i="1" s="1"/>
  <c r="Y61" i="1" s="1"/>
  <c r="P26" i="4"/>
  <c r="AB9" i="4"/>
  <c r="N25" i="4"/>
  <c r="Y13" i="4"/>
  <c r="Y12" i="4"/>
  <c r="Y14" i="4" s="1"/>
  <c r="O11" i="4"/>
  <c r="AA34" i="4"/>
  <c r="AB48" i="1" s="1"/>
  <c r="AB61" i="1" s="1"/>
  <c r="AO25" i="4"/>
  <c r="AD12" i="4"/>
  <c r="AD14" i="4" s="1"/>
  <c r="AD13" i="4"/>
  <c r="X13" i="4"/>
  <c r="X12" i="4"/>
  <c r="X14" i="4" s="1"/>
  <c r="P13" i="4"/>
  <c r="AB11" i="4"/>
  <c r="P12" i="4"/>
  <c r="K13" i="4"/>
  <c r="K12" i="4"/>
  <c r="K14" i="4" s="1"/>
  <c r="W25" i="4"/>
  <c r="AB25" i="4" s="1"/>
  <c r="Z25" i="4"/>
  <c r="E34" i="4" l="1"/>
  <c r="F48" i="1" s="1"/>
  <c r="F61" i="1" s="1"/>
  <c r="D167" i="2" s="1"/>
  <c r="J27" i="4"/>
  <c r="J34" i="4" s="1"/>
  <c r="K48" i="1" s="1"/>
  <c r="K61" i="1" s="1"/>
  <c r="K65" i="1" s="1"/>
  <c r="I169" i="2" s="1"/>
  <c r="O25" i="4"/>
  <c r="U167" i="2"/>
  <c r="X65" i="1"/>
  <c r="U169" i="2" s="1"/>
  <c r="X63" i="1"/>
  <c r="U168" i="2" s="1"/>
  <c r="AE167" i="2"/>
  <c r="AI63" i="1"/>
  <c r="AE168" i="2" s="1"/>
  <c r="AI65" i="1"/>
  <c r="AE169" i="2" s="1"/>
  <c r="R167" i="2"/>
  <c r="U63" i="1"/>
  <c r="R168" i="2" s="1"/>
  <c r="U65" i="1"/>
  <c r="R169" i="2" s="1"/>
  <c r="AC167" i="2"/>
  <c r="AG63" i="1"/>
  <c r="AC168" i="2" s="1"/>
  <c r="AC170" i="2" s="1"/>
  <c r="AG65" i="1"/>
  <c r="AC169" i="2" s="1"/>
  <c r="U27" i="4"/>
  <c r="U34" i="4" s="1"/>
  <c r="V48" i="1" s="1"/>
  <c r="V61" i="1" s="1"/>
  <c r="I27" i="4"/>
  <c r="I34" i="4" s="1"/>
  <c r="J48" i="1" s="1"/>
  <c r="J61" i="1" s="1"/>
  <c r="AK167" i="2"/>
  <c r="AO63" i="1"/>
  <c r="AK168" i="2" s="1"/>
  <c r="AK170" i="2" s="1"/>
  <c r="AO65" i="1"/>
  <c r="AK169" i="2" s="1"/>
  <c r="AD167" i="2"/>
  <c r="AH63" i="1"/>
  <c r="AD168" i="2" s="1"/>
  <c r="AD170" i="2" s="1"/>
  <c r="AH65" i="1"/>
  <c r="AD169" i="2" s="1"/>
  <c r="AO12" i="4"/>
  <c r="AC14" i="4"/>
  <c r="AO14" i="4" s="1"/>
  <c r="V167" i="2"/>
  <c r="Y65" i="1"/>
  <c r="V169" i="2" s="1"/>
  <c r="Y63" i="1"/>
  <c r="V168" i="2" s="1"/>
  <c r="V170" i="2" s="1"/>
  <c r="Y167" i="2"/>
  <c r="AB65" i="1"/>
  <c r="Y169" i="2" s="1"/>
  <c r="AB63" i="1"/>
  <c r="Y168" i="2" s="1"/>
  <c r="Y170" i="2" s="1"/>
  <c r="M27" i="4"/>
  <c r="M34" i="4" s="1"/>
  <c r="N48" i="1" s="1"/>
  <c r="N61" i="1" s="1"/>
  <c r="AG167" i="2"/>
  <c r="AK65" i="1"/>
  <c r="AG169" i="2" s="1"/>
  <c r="AK63" i="1"/>
  <c r="AG168" i="2" s="1"/>
  <c r="AD27" i="4"/>
  <c r="AD34" i="4" s="1"/>
  <c r="AE48" i="1" s="1"/>
  <c r="AE61" i="1" s="1"/>
  <c r="AL16" i="4"/>
  <c r="AL20" i="4" s="1"/>
  <c r="AM44" i="1" s="1"/>
  <c r="Z16" i="4"/>
  <c r="Z20" i="4" s="1"/>
  <c r="AA44" i="1" s="1"/>
  <c r="X162" i="2" s="1"/>
  <c r="N16" i="4"/>
  <c r="N20" i="4" s="1"/>
  <c r="O44" i="1" s="1"/>
  <c r="AJ16" i="4"/>
  <c r="AJ20" i="4" s="1"/>
  <c r="AK44" i="1" s="1"/>
  <c r="X16" i="4"/>
  <c r="X20" i="4" s="1"/>
  <c r="Y44" i="1" s="1"/>
  <c r="V162" i="2" s="1"/>
  <c r="L16" i="4"/>
  <c r="L20" i="4" s="1"/>
  <c r="M44" i="1" s="1"/>
  <c r="AI16" i="4"/>
  <c r="AI20" i="4" s="1"/>
  <c r="AJ44" i="1" s="1"/>
  <c r="W16" i="4"/>
  <c r="W20" i="4" s="1"/>
  <c r="X44" i="1" s="1"/>
  <c r="U162" i="2" s="1"/>
  <c r="K16" i="4"/>
  <c r="K20" i="4" s="1"/>
  <c r="L44" i="1" s="1"/>
  <c r="AG16" i="4"/>
  <c r="AG20" i="4" s="1"/>
  <c r="AH44" i="1" s="1"/>
  <c r="U16" i="4"/>
  <c r="U20" i="4" s="1"/>
  <c r="V44" i="1" s="1"/>
  <c r="S162" i="2" s="1"/>
  <c r="I16" i="4"/>
  <c r="I20" i="4" s="1"/>
  <c r="J44" i="1" s="1"/>
  <c r="AE16" i="4"/>
  <c r="AE20" i="4" s="1"/>
  <c r="AF44" i="1" s="1"/>
  <c r="S16" i="4"/>
  <c r="S20" i="4" s="1"/>
  <c r="T44" i="1" s="1"/>
  <c r="Q162" i="2" s="1"/>
  <c r="G16" i="4"/>
  <c r="G20" i="4" s="1"/>
  <c r="H44" i="1" s="1"/>
  <c r="AC16" i="4"/>
  <c r="H16" i="4"/>
  <c r="H20" i="4" s="1"/>
  <c r="I44" i="1" s="1"/>
  <c r="F16" i="4"/>
  <c r="F20" i="4" s="1"/>
  <c r="G44" i="1" s="1"/>
  <c r="AA16" i="4"/>
  <c r="AA20" i="4" s="1"/>
  <c r="AB44" i="1" s="1"/>
  <c r="Y162" i="2" s="1"/>
  <c r="E16" i="4"/>
  <c r="E20" i="4" s="1"/>
  <c r="F44" i="1" s="1"/>
  <c r="Y16" i="4"/>
  <c r="Y20" i="4" s="1"/>
  <c r="Z44" i="1" s="1"/>
  <c r="W162" i="2" s="1"/>
  <c r="D16" i="4"/>
  <c r="D20" i="4" s="1"/>
  <c r="E44" i="1" s="1"/>
  <c r="V16" i="4"/>
  <c r="V20" i="4" s="1"/>
  <c r="W44" i="1" s="1"/>
  <c r="T162" i="2" s="1"/>
  <c r="C16" i="4"/>
  <c r="AF16" i="4"/>
  <c r="AF20" i="4" s="1"/>
  <c r="AG44" i="1" s="1"/>
  <c r="M16" i="4"/>
  <c r="M20" i="4" s="1"/>
  <c r="N44" i="1" s="1"/>
  <c r="AM16" i="4"/>
  <c r="AM20" i="4" s="1"/>
  <c r="AN44" i="1" s="1"/>
  <c r="AK16" i="4"/>
  <c r="AK20" i="4" s="1"/>
  <c r="AL44" i="1" s="1"/>
  <c r="AH16" i="4"/>
  <c r="AH20" i="4" s="1"/>
  <c r="AI44" i="1" s="1"/>
  <c r="AD16" i="4"/>
  <c r="AD20" i="4" s="1"/>
  <c r="AE44" i="1" s="1"/>
  <c r="C13" i="6"/>
  <c r="T16" i="4"/>
  <c r="T20" i="4" s="1"/>
  <c r="U44" i="1" s="1"/>
  <c r="R162" i="2" s="1"/>
  <c r="J16" i="4"/>
  <c r="J20" i="4" s="1"/>
  <c r="K44" i="1" s="1"/>
  <c r="Q16" i="4"/>
  <c r="Q20" i="4" s="1"/>
  <c r="R44" i="1" s="1"/>
  <c r="O162" i="2" s="1"/>
  <c r="P16" i="4"/>
  <c r="AN16" i="4"/>
  <c r="AN20" i="4" s="1"/>
  <c r="AO44" i="1" s="1"/>
  <c r="R16" i="4"/>
  <c r="R20" i="4" s="1"/>
  <c r="S44" i="1" s="1"/>
  <c r="P162" i="2" s="1"/>
  <c r="AB26" i="4"/>
  <c r="P34" i="4"/>
  <c r="AO26" i="4"/>
  <c r="AI27" i="4"/>
  <c r="AI34" i="4" s="1"/>
  <c r="AJ48" i="1" s="1"/>
  <c r="AJ61" i="1" s="1"/>
  <c r="AC27" i="4"/>
  <c r="AO27" i="4" s="1"/>
  <c r="E14" i="4"/>
  <c r="O14" i="4" s="1"/>
  <c r="O12" i="4"/>
  <c r="E167" i="2"/>
  <c r="G65" i="1"/>
  <c r="E169" i="2" s="1"/>
  <c r="G63" i="1"/>
  <c r="E168" i="2" s="1"/>
  <c r="Y27" i="4"/>
  <c r="Y34" i="4" s="1"/>
  <c r="Z48" i="1" s="1"/>
  <c r="Z61" i="1" s="1"/>
  <c r="N27" i="4"/>
  <c r="N34" i="4" s="1"/>
  <c r="O48" i="1" s="1"/>
  <c r="O61" i="1" s="1"/>
  <c r="G27" i="4"/>
  <c r="G34" i="4" s="1"/>
  <c r="H48" i="1" s="1"/>
  <c r="H61" i="1" s="1"/>
  <c r="Q167" i="2"/>
  <c r="T65" i="1"/>
  <c r="Q169" i="2" s="1"/>
  <c r="T63" i="1"/>
  <c r="Q168" i="2" s="1"/>
  <c r="Q170" i="2" s="1"/>
  <c r="E26" i="3"/>
  <c r="F26" i="3" s="1"/>
  <c r="E13" i="3"/>
  <c r="C14" i="6" s="1"/>
  <c r="E27" i="3"/>
  <c r="F27" i="3" s="1"/>
  <c r="B14" i="6"/>
  <c r="E30" i="3"/>
  <c r="F30" i="3" s="1"/>
  <c r="E28" i="3"/>
  <c r="F28" i="3" s="1"/>
  <c r="E29" i="3"/>
  <c r="F29" i="3" s="1"/>
  <c r="AM27" i="4"/>
  <c r="AM34" i="4" s="1"/>
  <c r="AN48" i="1" s="1"/>
  <c r="AN61" i="1" s="1"/>
  <c r="K167" i="2"/>
  <c r="M65" i="1"/>
  <c r="K169" i="2" s="1"/>
  <c r="M63" i="1"/>
  <c r="K168" i="2" s="1"/>
  <c r="K170" i="2" s="1"/>
  <c r="AB12" i="4"/>
  <c r="P14" i="4"/>
  <c r="AB14" i="4" s="1"/>
  <c r="P167" i="2"/>
  <c r="S63" i="1"/>
  <c r="P168" i="2" s="1"/>
  <c r="S65" i="1"/>
  <c r="P169" i="2" s="1"/>
  <c r="AH167" i="2"/>
  <c r="AL65" i="1"/>
  <c r="AH169" i="2" s="1"/>
  <c r="AL63" i="1"/>
  <c r="AH168" i="2" s="1"/>
  <c r="AH170" i="2" s="1"/>
  <c r="O26" i="4"/>
  <c r="Z27" i="4"/>
  <c r="Z34" i="4" s="1"/>
  <c r="AA48" i="1" s="1"/>
  <c r="AA61" i="1" s="1"/>
  <c r="AI167" i="2"/>
  <c r="AM63" i="1"/>
  <c r="AI168" i="2" s="1"/>
  <c r="AM65" i="1"/>
  <c r="AI169" i="2" s="1"/>
  <c r="AB167" i="2"/>
  <c r="AF65" i="1"/>
  <c r="AB169" i="2" s="1"/>
  <c r="AF63" i="1"/>
  <c r="AB168" i="2" s="1"/>
  <c r="T167" i="2"/>
  <c r="W65" i="1"/>
  <c r="T169" i="2" s="1"/>
  <c r="W63" i="1"/>
  <c r="T168" i="2" s="1"/>
  <c r="O167" i="2"/>
  <c r="R63" i="1"/>
  <c r="O168" i="2" s="1"/>
  <c r="O170" i="2" s="1"/>
  <c r="R65" i="1"/>
  <c r="O169" i="2" s="1"/>
  <c r="K27" i="4"/>
  <c r="K34" i="4" s="1"/>
  <c r="L48" i="1" s="1"/>
  <c r="L61" i="1" s="1"/>
  <c r="G167" i="2"/>
  <c r="I63" i="1"/>
  <c r="G168" i="2" s="1"/>
  <c r="G170" i="2" s="1"/>
  <c r="I65" i="1"/>
  <c r="G169" i="2" s="1"/>
  <c r="C167" i="2"/>
  <c r="E65" i="1"/>
  <c r="C169" i="2" s="1"/>
  <c r="E63" i="1"/>
  <c r="C168" i="2" s="1"/>
  <c r="F65" i="1" l="1"/>
  <c r="D169" i="2" s="1"/>
  <c r="F63" i="1"/>
  <c r="D168" i="2" s="1"/>
  <c r="D170" i="2" s="1"/>
  <c r="K63" i="1"/>
  <c r="I168" i="2" s="1"/>
  <c r="T170" i="2"/>
  <c r="I167" i="2"/>
  <c r="AI170" i="2"/>
  <c r="R170" i="2"/>
  <c r="R163" i="2"/>
  <c r="U45" i="1"/>
  <c r="U46" i="1" s="1"/>
  <c r="U163" i="2"/>
  <c r="X45" i="1"/>
  <c r="X46" i="1" s="1"/>
  <c r="J167" i="2"/>
  <c r="L63" i="1"/>
  <c r="J168" i="2" s="1"/>
  <c r="L65" i="1"/>
  <c r="J169" i="2" s="1"/>
  <c r="K162" i="2"/>
  <c r="K163" i="2" s="1"/>
  <c r="M45" i="1"/>
  <c r="M46" i="1" s="1"/>
  <c r="F45" i="1"/>
  <c r="F46" i="1" s="1"/>
  <c r="D162" i="2"/>
  <c r="D163" i="2" s="1"/>
  <c r="AF167" i="2"/>
  <c r="AJ65" i="1"/>
  <c r="AF169" i="2" s="1"/>
  <c r="AJ63" i="1"/>
  <c r="AF168" i="2" s="1"/>
  <c r="X167" i="2"/>
  <c r="AA63" i="1"/>
  <c r="X168" i="2" s="1"/>
  <c r="X170" i="2" s="1"/>
  <c r="AA65" i="1"/>
  <c r="X169" i="2" s="1"/>
  <c r="O27" i="4"/>
  <c r="M162" i="2"/>
  <c r="M163" i="2" s="1"/>
  <c r="O45" i="1"/>
  <c r="O46" i="1" s="1"/>
  <c r="L162" i="2"/>
  <c r="L163" i="2" s="1"/>
  <c r="N45" i="1"/>
  <c r="N46" i="1" s="1"/>
  <c r="H167" i="2"/>
  <c r="J65" i="1"/>
  <c r="H169" i="2" s="1"/>
  <c r="J63" i="1"/>
  <c r="H168" i="2" s="1"/>
  <c r="W167" i="2"/>
  <c r="Z63" i="1"/>
  <c r="W168" i="2" s="1"/>
  <c r="W170" i="2" s="1"/>
  <c r="Z65" i="1"/>
  <c r="W169" i="2" s="1"/>
  <c r="P163" i="2"/>
  <c r="S45" i="1"/>
  <c r="S46" i="1" s="1"/>
  <c r="AC162" i="2"/>
  <c r="AC163" i="2" s="1"/>
  <c r="AG45" i="1"/>
  <c r="AG46" i="1" s="1"/>
  <c r="AB162" i="2"/>
  <c r="AB163" i="2" s="1"/>
  <c r="AF45" i="1"/>
  <c r="AF46" i="1" s="1"/>
  <c r="AI162" i="2"/>
  <c r="AI163" i="2" s="1"/>
  <c r="AM45" i="1"/>
  <c r="AM46" i="1" s="1"/>
  <c r="S167" i="2"/>
  <c r="V63" i="1"/>
  <c r="S168" i="2" s="1"/>
  <c r="V65" i="1"/>
  <c r="S169" i="2" s="1"/>
  <c r="AE170" i="2"/>
  <c r="R68" i="6"/>
  <c r="P68" i="6"/>
  <c r="N68" i="6"/>
  <c r="P58" i="6"/>
  <c r="AD40" i="6"/>
  <c r="L68" i="6"/>
  <c r="N58" i="6"/>
  <c r="AB40" i="6"/>
  <c r="L33" i="6"/>
  <c r="B123" i="2" s="1"/>
  <c r="L29" i="6"/>
  <c r="B119" i="2" s="1"/>
  <c r="R28" i="6"/>
  <c r="E118" i="2" s="1"/>
  <c r="Z27" i="6"/>
  <c r="AH68" i="6"/>
  <c r="L58" i="6"/>
  <c r="Z40" i="6"/>
  <c r="P32" i="6"/>
  <c r="AH29" i="6"/>
  <c r="M119" i="2" s="1"/>
  <c r="P28" i="6"/>
  <c r="D118" i="2" s="1"/>
  <c r="X27" i="6"/>
  <c r="AF68" i="6"/>
  <c r="AH58" i="6"/>
  <c r="X40" i="6"/>
  <c r="AF29" i="6"/>
  <c r="L119" i="2" s="1"/>
  <c r="N28" i="6"/>
  <c r="C118" i="2" s="1"/>
  <c r="V27" i="6"/>
  <c r="AD68" i="6"/>
  <c r="AF58" i="6"/>
  <c r="V40" i="6"/>
  <c r="L32" i="6"/>
  <c r="AD29" i="6"/>
  <c r="K119" i="2" s="1"/>
  <c r="L28" i="6"/>
  <c r="B118" i="2" s="1"/>
  <c r="T27" i="6"/>
  <c r="AB68" i="6"/>
  <c r="Z68" i="6"/>
  <c r="AB58" i="6"/>
  <c r="R40" i="6"/>
  <c r="Z29" i="6"/>
  <c r="I119" i="2" s="1"/>
  <c r="AF28" i="6"/>
  <c r="L118" i="2" s="1"/>
  <c r="P27" i="6"/>
  <c r="X68" i="6"/>
  <c r="V68" i="6"/>
  <c r="X58" i="6"/>
  <c r="N40" i="6"/>
  <c r="P30" i="6"/>
  <c r="V29" i="6"/>
  <c r="G119" i="2" s="1"/>
  <c r="AB28" i="6"/>
  <c r="J118" i="2" s="1"/>
  <c r="L27" i="6"/>
  <c r="T68" i="6"/>
  <c r="AD58" i="6"/>
  <c r="T40" i="6"/>
  <c r="N33" i="6"/>
  <c r="AH28" i="6"/>
  <c r="M118" i="2" s="1"/>
  <c r="R27" i="6"/>
  <c r="Z58" i="6"/>
  <c r="P40" i="6"/>
  <c r="L30" i="6"/>
  <c r="AD28" i="6"/>
  <c r="K118" i="2" s="1"/>
  <c r="N27" i="6"/>
  <c r="V58" i="6"/>
  <c r="L40" i="6"/>
  <c r="Z28" i="6"/>
  <c r="I118" i="2" s="1"/>
  <c r="T58" i="6"/>
  <c r="X28" i="6"/>
  <c r="H118" i="2" s="1"/>
  <c r="R58" i="6"/>
  <c r="L34" i="6"/>
  <c r="P31" i="6"/>
  <c r="AB29" i="6"/>
  <c r="J119" i="2" s="1"/>
  <c r="V28" i="6"/>
  <c r="G118" i="2" s="1"/>
  <c r="AH40" i="6"/>
  <c r="R33" i="6"/>
  <c r="AD27" i="6"/>
  <c r="L31" i="6"/>
  <c r="T28" i="6"/>
  <c r="F118" i="2" s="1"/>
  <c r="P29" i="6"/>
  <c r="D119" i="2" s="1"/>
  <c r="X29" i="6"/>
  <c r="H119" i="2" s="1"/>
  <c r="T29" i="6"/>
  <c r="F119" i="2" s="1"/>
  <c r="R29" i="6"/>
  <c r="E119" i="2" s="1"/>
  <c r="N29" i="6"/>
  <c r="C119" i="2" s="1"/>
  <c r="AH27" i="6"/>
  <c r="AF27" i="6"/>
  <c r="AB27" i="6"/>
  <c r="AF40" i="6"/>
  <c r="G162" i="2"/>
  <c r="G163" i="2" s="1"/>
  <c r="I45" i="1"/>
  <c r="I46" i="1" s="1"/>
  <c r="AC34" i="4"/>
  <c r="AH162" i="2"/>
  <c r="AH163" i="2" s="1"/>
  <c r="AL45" i="1"/>
  <c r="AL46" i="1" s="1"/>
  <c r="AO16" i="4"/>
  <c r="AC20" i="4"/>
  <c r="AG162" i="2"/>
  <c r="AG163" i="2" s="1"/>
  <c r="AK45" i="1"/>
  <c r="AK46" i="1" s="1"/>
  <c r="F167" i="2"/>
  <c r="H63" i="1"/>
  <c r="F168" i="2" s="1"/>
  <c r="H65" i="1"/>
  <c r="F169" i="2" s="1"/>
  <c r="AJ162" i="2"/>
  <c r="AJ163" i="2" s="1"/>
  <c r="AN45" i="1"/>
  <c r="AN46" i="1" s="1"/>
  <c r="F162" i="2"/>
  <c r="F163" i="2" s="1"/>
  <c r="H45" i="1"/>
  <c r="H46" i="1" s="1"/>
  <c r="AJ167" i="2"/>
  <c r="AN65" i="1"/>
  <c r="AJ169" i="2" s="1"/>
  <c r="AN63" i="1"/>
  <c r="AJ168" i="2" s="1"/>
  <c r="Q163" i="2"/>
  <c r="T45" i="1"/>
  <c r="T46" i="1" s="1"/>
  <c r="C170" i="2"/>
  <c r="E170" i="2"/>
  <c r="AK162" i="2"/>
  <c r="AK163" i="2" s="1"/>
  <c r="AO45" i="1"/>
  <c r="AO46" i="1" s="1"/>
  <c r="C20" i="4"/>
  <c r="O16" i="4"/>
  <c r="J45" i="1"/>
  <c r="J46" i="1" s="1"/>
  <c r="H162" i="2"/>
  <c r="H163" i="2" s="1"/>
  <c r="AA167" i="2"/>
  <c r="AE65" i="1"/>
  <c r="AA169" i="2" s="1"/>
  <c r="AE63" i="1"/>
  <c r="AA168" i="2" s="1"/>
  <c r="AB27" i="4"/>
  <c r="L167" i="2"/>
  <c r="N63" i="1"/>
  <c r="L168" i="2" s="1"/>
  <c r="N65" i="1"/>
  <c r="L169" i="2" s="1"/>
  <c r="AJ45" i="1"/>
  <c r="AJ46" i="1" s="1"/>
  <c r="AF162" i="2"/>
  <c r="AF163" i="2" s="1"/>
  <c r="E162" i="2"/>
  <c r="E163" i="2" s="1"/>
  <c r="G45" i="1"/>
  <c r="G46" i="1" s="1"/>
  <c r="O34" i="4"/>
  <c r="D48" i="1"/>
  <c r="V163" i="2"/>
  <c r="Y45" i="1"/>
  <c r="Y46" i="1" s="1"/>
  <c r="AB34" i="4"/>
  <c r="Q48" i="1"/>
  <c r="M167" i="2"/>
  <c r="O63" i="1"/>
  <c r="M168" i="2" s="1"/>
  <c r="O65" i="1"/>
  <c r="M169" i="2" s="1"/>
  <c r="X163" i="2"/>
  <c r="AA45" i="1"/>
  <c r="AA46" i="1" s="1"/>
  <c r="AB170" i="2"/>
  <c r="P20" i="4"/>
  <c r="AB16" i="4"/>
  <c r="T163" i="2"/>
  <c r="W45" i="1"/>
  <c r="W46" i="1" s="1"/>
  <c r="S163" i="2"/>
  <c r="V45" i="1"/>
  <c r="V46" i="1" s="1"/>
  <c r="AG170" i="2"/>
  <c r="U170" i="2"/>
  <c r="C162" i="2"/>
  <c r="C163" i="2" s="1"/>
  <c r="E45" i="1"/>
  <c r="E46" i="1" s="1"/>
  <c r="Y163" i="2"/>
  <c r="AB45" i="1"/>
  <c r="AB46" i="1" s="1"/>
  <c r="AA162" i="2"/>
  <c r="AA163" i="2" s="1"/>
  <c r="AE45" i="1"/>
  <c r="AE46" i="1" s="1"/>
  <c r="AE162" i="2"/>
  <c r="AE163" i="2" s="1"/>
  <c r="AI45" i="1"/>
  <c r="AI46" i="1" s="1"/>
  <c r="O163" i="2"/>
  <c r="R45" i="1"/>
  <c r="R46" i="1" s="1"/>
  <c r="AD162" i="2"/>
  <c r="AD163" i="2" s="1"/>
  <c r="AH45" i="1"/>
  <c r="AH46" i="1" s="1"/>
  <c r="P170" i="2"/>
  <c r="I162" i="2"/>
  <c r="I163" i="2" s="1"/>
  <c r="K45" i="1"/>
  <c r="K46" i="1" s="1"/>
  <c r="W163" i="2"/>
  <c r="Z45" i="1"/>
  <c r="Z46" i="1" s="1"/>
  <c r="J162" i="2"/>
  <c r="J163" i="2" s="1"/>
  <c r="L45" i="1"/>
  <c r="L46" i="1" s="1"/>
  <c r="M170" i="2" l="1"/>
  <c r="J170" i="2"/>
  <c r="I170" i="2"/>
  <c r="S170" i="2"/>
  <c r="AA170" i="2"/>
  <c r="AJ170" i="2"/>
  <c r="P33" i="6"/>
  <c r="D123" i="2" s="1"/>
  <c r="C123" i="2"/>
  <c r="Q61" i="1"/>
  <c r="AC48" i="1"/>
  <c r="L117" i="2"/>
  <c r="N30" i="6"/>
  <c r="C120" i="2" s="1"/>
  <c r="B120" i="2"/>
  <c r="T30" i="6"/>
  <c r="D120" i="2"/>
  <c r="R30" i="6"/>
  <c r="E120" i="2" s="1"/>
  <c r="F117" i="2"/>
  <c r="M117" i="2"/>
  <c r="H117" i="2"/>
  <c r="C139" i="2"/>
  <c r="N66" i="6"/>
  <c r="N67" i="6" s="1"/>
  <c r="N34" i="6"/>
  <c r="B124" i="2"/>
  <c r="E117" i="2"/>
  <c r="D139" i="2"/>
  <c r="P66" i="6"/>
  <c r="P67" i="6" s="1"/>
  <c r="P70" i="6" s="1"/>
  <c r="D117" i="2"/>
  <c r="G117" i="2"/>
  <c r="R32" i="6"/>
  <c r="D122" i="2"/>
  <c r="AB20" i="4"/>
  <c r="Q44" i="1"/>
  <c r="L139" i="2"/>
  <c r="AF66" i="6"/>
  <c r="AF67" i="6" s="1"/>
  <c r="F139" i="2"/>
  <c r="T66" i="6"/>
  <c r="T67" i="6" s="1"/>
  <c r="K117" i="2"/>
  <c r="V67" i="6"/>
  <c r="V70" i="6" s="1"/>
  <c r="G139" i="2"/>
  <c r="V66" i="6"/>
  <c r="B117" i="2"/>
  <c r="L38" i="6"/>
  <c r="L39" i="6" s="1"/>
  <c r="L41" i="6" s="1"/>
  <c r="J139" i="2"/>
  <c r="AB66" i="6"/>
  <c r="AB67" i="6" s="1"/>
  <c r="B139" i="2"/>
  <c r="L66" i="6"/>
  <c r="L67" i="6" s="1"/>
  <c r="AO34" i="4"/>
  <c r="AD48" i="1"/>
  <c r="O20" i="4"/>
  <c r="D44" i="1"/>
  <c r="E123" i="2"/>
  <c r="T33" i="6"/>
  <c r="C117" i="2"/>
  <c r="AF170" i="2"/>
  <c r="R31" i="6"/>
  <c r="D121" i="2"/>
  <c r="I139" i="2"/>
  <c r="Z66" i="6"/>
  <c r="Z67" i="6" s="1"/>
  <c r="Z70" i="6" s="1"/>
  <c r="X67" i="6"/>
  <c r="X70" i="6" s="1"/>
  <c r="H139" i="2"/>
  <c r="X66" i="6"/>
  <c r="AI68" i="6"/>
  <c r="AO20" i="4"/>
  <c r="AD44" i="1"/>
  <c r="N32" i="6"/>
  <c r="C122" i="2" s="1"/>
  <c r="B122" i="2"/>
  <c r="P48" i="1"/>
  <c r="D61" i="1"/>
  <c r="E139" i="2"/>
  <c r="R66" i="6"/>
  <c r="R67" i="6" s="1"/>
  <c r="K139" i="2"/>
  <c r="AD66" i="6"/>
  <c r="AD67" i="6" s="1"/>
  <c r="N31" i="6"/>
  <c r="C121" i="2" s="1"/>
  <c r="B121" i="2"/>
  <c r="AI40" i="6"/>
  <c r="I117" i="2"/>
  <c r="L170" i="2"/>
  <c r="F170" i="2"/>
  <c r="J117" i="2"/>
  <c r="AH67" i="6"/>
  <c r="AH70" i="6" s="1"/>
  <c r="M139" i="2"/>
  <c r="AH66" i="6"/>
  <c r="H170" i="2"/>
  <c r="R70" i="6" l="1"/>
  <c r="R69" i="6"/>
  <c r="X69" i="6"/>
  <c r="AF70" i="6"/>
  <c r="AH71" i="6" s="1"/>
  <c r="AF69" i="6"/>
  <c r="AD70" i="6"/>
  <c r="AD69" i="6"/>
  <c r="L70" i="6"/>
  <c r="AI67" i="6"/>
  <c r="L69" i="6"/>
  <c r="T70" i="6"/>
  <c r="T69" i="6"/>
  <c r="AB70" i="6"/>
  <c r="AB69" i="6"/>
  <c r="N70" i="6"/>
  <c r="P71" i="6" s="1"/>
  <c r="N69" i="6"/>
  <c r="X71" i="6"/>
  <c r="X73" i="6"/>
  <c r="R77" i="6" s="1"/>
  <c r="V33" i="6"/>
  <c r="F123" i="2"/>
  <c r="V73" i="6"/>
  <c r="Q77" i="6" s="1"/>
  <c r="R71" i="6"/>
  <c r="R73" i="6"/>
  <c r="O77" i="6" s="1"/>
  <c r="P73" i="6"/>
  <c r="N77" i="6" s="1"/>
  <c r="AH73" i="6"/>
  <c r="W77" i="6" s="1"/>
  <c r="Z71" i="6"/>
  <c r="Z73" i="6"/>
  <c r="S77" i="6" s="1"/>
  <c r="B162" i="2"/>
  <c r="B163" i="2" s="1"/>
  <c r="D45" i="1"/>
  <c r="D46" i="1" s="1"/>
  <c r="P44" i="1"/>
  <c r="P45" i="1" s="1"/>
  <c r="V69" i="6"/>
  <c r="AH69" i="6"/>
  <c r="AD45" i="1"/>
  <c r="AD46" i="1" s="1"/>
  <c r="Z163" i="2"/>
  <c r="AP44" i="1"/>
  <c r="AP45" i="1" s="1"/>
  <c r="P69" i="6"/>
  <c r="P34" i="6"/>
  <c r="C124" i="2"/>
  <c r="B167" i="2"/>
  <c r="P61" i="1"/>
  <c r="D65" i="1"/>
  <c r="D63" i="1"/>
  <c r="V30" i="6"/>
  <c r="F120" i="2"/>
  <c r="L42" i="6"/>
  <c r="AC61" i="1"/>
  <c r="N167" i="2"/>
  <c r="Q63" i="1"/>
  <c r="Q65" i="1"/>
  <c r="T31" i="6"/>
  <c r="E121" i="2"/>
  <c r="Z69" i="6"/>
  <c r="N38" i="6"/>
  <c r="N39" i="6"/>
  <c r="E122" i="2"/>
  <c r="T32" i="6"/>
  <c r="AD61" i="1"/>
  <c r="AP48" i="1"/>
  <c r="Q45" i="1"/>
  <c r="Q46" i="1" s="1"/>
  <c r="N162" i="2"/>
  <c r="N163" i="2" s="1"/>
  <c r="AC44" i="1"/>
  <c r="AC45" i="1" s="1"/>
  <c r="AC46" i="1" s="1"/>
  <c r="F122" i="2" l="1"/>
  <c r="V32" i="6"/>
  <c r="AF71" i="6"/>
  <c r="AF73" i="6"/>
  <c r="V77" i="6" s="1"/>
  <c r="N42" i="6"/>
  <c r="N41" i="6"/>
  <c r="X30" i="6"/>
  <c r="G120" i="2"/>
  <c r="T71" i="6"/>
  <c r="T73" i="6"/>
  <c r="P77" i="6" s="1"/>
  <c r="V31" i="6"/>
  <c r="F121" i="2"/>
  <c r="N168" i="2"/>
  <c r="N170" i="2" s="1"/>
  <c r="AC63" i="1"/>
  <c r="G123" i="2"/>
  <c r="X33" i="6"/>
  <c r="AI70" i="6"/>
  <c r="L73" i="6"/>
  <c r="L77" i="6" s="1"/>
  <c r="AB71" i="6"/>
  <c r="AB73" i="6"/>
  <c r="T77" i="6" s="1"/>
  <c r="AI69" i="6"/>
  <c r="L45" i="6"/>
  <c r="L49" i="6" s="1"/>
  <c r="N71" i="6"/>
  <c r="N73" i="6"/>
  <c r="M77" i="6" s="1"/>
  <c r="AC65" i="1"/>
  <c r="N169" i="2"/>
  <c r="D124" i="2"/>
  <c r="R34" i="6"/>
  <c r="P38" i="6"/>
  <c r="P39" i="6" s="1"/>
  <c r="AD71" i="6"/>
  <c r="AD73" i="6"/>
  <c r="U77" i="6" s="1"/>
  <c r="P63" i="1"/>
  <c r="B168" i="2"/>
  <c r="B170" i="2" s="1"/>
  <c r="P65" i="1"/>
  <c r="B169" i="2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V71" i="6"/>
  <c r="Z167" i="2"/>
  <c r="AP61" i="1"/>
  <c r="AD63" i="1"/>
  <c r="AD65" i="1"/>
  <c r="P42" i="6" l="1"/>
  <c r="P41" i="6"/>
  <c r="AD66" i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N43" i="6"/>
  <c r="N45" i="6"/>
  <c r="M49" i="6" s="1"/>
  <c r="Z169" i="2"/>
  <c r="AP65" i="1"/>
  <c r="Z30" i="6"/>
  <c r="H120" i="2"/>
  <c r="AP63" i="1"/>
  <c r="Z168" i="2"/>
  <c r="Z170" i="2" s="1"/>
  <c r="T34" i="6"/>
  <c r="E124" i="2"/>
  <c r="R38" i="6"/>
  <c r="R39" i="6" s="1"/>
  <c r="Z33" i="6"/>
  <c r="H123" i="2"/>
  <c r="AJ71" i="6"/>
  <c r="AI71" i="6"/>
  <c r="X32" i="6"/>
  <c r="G122" i="2"/>
  <c r="X31" i="6"/>
  <c r="G121" i="2"/>
  <c r="R42" i="6" l="1"/>
  <c r="R41" i="6"/>
  <c r="AB30" i="6"/>
  <c r="I120" i="2"/>
  <c r="H122" i="2"/>
  <c r="Z32" i="6"/>
  <c r="AB33" i="6"/>
  <c r="I123" i="2"/>
  <c r="V34" i="6"/>
  <c r="F124" i="2"/>
  <c r="T38" i="6"/>
  <c r="T39" i="6" s="1"/>
  <c r="Z31" i="6"/>
  <c r="H121" i="2"/>
  <c r="P43" i="6"/>
  <c r="P45" i="6"/>
  <c r="N49" i="6" s="1"/>
  <c r="T42" i="6" l="1"/>
  <c r="T41" i="6"/>
  <c r="AB32" i="6"/>
  <c r="I122" i="2"/>
  <c r="AD30" i="6"/>
  <c r="J120" i="2"/>
  <c r="X34" i="6"/>
  <c r="G124" i="2"/>
  <c r="V38" i="6"/>
  <c r="V39" i="6"/>
  <c r="AD33" i="6"/>
  <c r="J123" i="2"/>
  <c r="AB31" i="6"/>
  <c r="I121" i="2"/>
  <c r="R43" i="6"/>
  <c r="R45" i="6"/>
  <c r="O49" i="6" s="1"/>
  <c r="AD31" i="6" l="1"/>
  <c r="J121" i="2"/>
  <c r="AD32" i="6"/>
  <c r="J122" i="2"/>
  <c r="AF33" i="6"/>
  <c r="K123" i="2"/>
  <c r="Z34" i="6"/>
  <c r="H124" i="2"/>
  <c r="X38" i="6"/>
  <c r="X39" i="6" s="1"/>
  <c r="AF30" i="6"/>
  <c r="K120" i="2"/>
  <c r="V42" i="6"/>
  <c r="V41" i="6"/>
  <c r="T43" i="6"/>
  <c r="T45" i="6"/>
  <c r="P49" i="6" s="1"/>
  <c r="X42" i="6" l="1"/>
  <c r="X41" i="6"/>
  <c r="AB34" i="6"/>
  <c r="I124" i="2"/>
  <c r="Z38" i="6"/>
  <c r="Z39" i="6"/>
  <c r="V43" i="6"/>
  <c r="V45" i="6"/>
  <c r="Q49" i="6" s="1"/>
  <c r="AH33" i="6"/>
  <c r="M123" i="2" s="1"/>
  <c r="L123" i="2"/>
  <c r="AF32" i="6"/>
  <c r="K122" i="2"/>
  <c r="AH30" i="6"/>
  <c r="L120" i="2"/>
  <c r="AF31" i="6"/>
  <c r="K121" i="2"/>
  <c r="AH31" i="6" l="1"/>
  <c r="M121" i="2" s="1"/>
  <c r="L121" i="2"/>
  <c r="AF34" i="6"/>
  <c r="AD34" i="6"/>
  <c r="J124" i="2"/>
  <c r="AB38" i="6"/>
  <c r="AB39" i="6" s="1"/>
  <c r="M120" i="2"/>
  <c r="X43" i="6"/>
  <c r="X45" i="6"/>
  <c r="R49" i="6" s="1"/>
  <c r="Z42" i="6"/>
  <c r="Z41" i="6"/>
  <c r="AH32" i="6"/>
  <c r="M122" i="2" s="1"/>
  <c r="L122" i="2"/>
  <c r="AH34" i="6" l="1"/>
  <c r="L124" i="2"/>
  <c r="AB42" i="6"/>
  <c r="AB41" i="6"/>
  <c r="K124" i="2"/>
  <c r="AD38" i="6"/>
  <c r="AD39" i="6" s="1"/>
  <c r="Z43" i="6"/>
  <c r="Z45" i="6"/>
  <c r="S49" i="6" s="1"/>
  <c r="AF38" i="6"/>
  <c r="AF39" i="6" s="1"/>
  <c r="AD42" i="6" l="1"/>
  <c r="AD41" i="6"/>
  <c r="AF42" i="6"/>
  <c r="AF41" i="6"/>
  <c r="AB43" i="6"/>
  <c r="AB45" i="6"/>
  <c r="T49" i="6" s="1"/>
  <c r="M124" i="2"/>
  <c r="AH38" i="6"/>
  <c r="AH39" i="6"/>
  <c r="AD43" i="6" l="1"/>
  <c r="AD45" i="6"/>
  <c r="U49" i="6" s="1"/>
  <c r="AF43" i="6"/>
  <c r="AF45" i="6"/>
  <c r="V49" i="6" s="1"/>
  <c r="AH42" i="6"/>
  <c r="AH41" i="6"/>
  <c r="AI41" i="6" s="1"/>
  <c r="AI39" i="6"/>
  <c r="AH43" i="6" l="1"/>
  <c r="AH45" i="6"/>
  <c r="W49" i="6" s="1"/>
  <c r="AI42" i="6"/>
  <c r="AJ43" i="6" l="1"/>
  <c r="AI4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3000000}">
      <text>
        <r>
          <rPr>
            <sz val="11"/>
            <color theme="1"/>
            <rFont val="Calibri"/>
            <scheme val="minor"/>
          </rPr>
          <t>A+ 12/18 - 1162
C+ 08/19 - 1812
A Insp 02/20 - 2018
A+ 09/21 - 2315
	-Julez Le
----
A Insp 07/20 - 172
B+ 04/21 – 338
A Insp 11/21 - 507
C+ 05/22 - 592
	-Julez Le
----
Frequent flyer
	-Julez Le
----
A Insp 12/20 -195
B+ 05/21 - 337
A Insp 01/22 - 530
C+ 05/22 - 640
	-Julez Le
----
B+ 11/19 – 825
A+ 04/20 - 843
C+ 03/21 – 1047
A+ 11/21 - 1240
	-Julez Le
----
B Insp 07/21 - 412
A+ 11/21 - 511
C Insp 05/22 - 718
A+ 11/22
	-Julez Le
----
100 hr 11/19 - 95.1
A+ 07/20 - 145
B+ 07/21 - 202
A+ 01/22 - 227
	-Julez Le
----
A Insp 03/20 - 267
C+ 04/21 - 419
A Insp 09/21 - 604
B+ 02/22 - 832
	-Julez Le
----
A Insp 12/20 -195
B+ 05/21 - 337
A Insp 01/22 - 530
C+ 05/22 - 640
	-Julez Le
----
100 Hr 09/21 – 112
A Insp 12/21 – 209
B+ 06/22 – 387
	-Julez Le
----
A Insp 07/20 - 172
B+ 04/21 – 338
A Insp 11/21 - 507
C+ 05/22 - 592
	-Julez Le
----
100 Hr 09/21 – 112
A Insp 12/21 – 209
B+ 06/22 – 387
	-Julez Le
----
A Insp 11/20 - 181
B+ 07/21 - 339
A Insp 02/22 - 533
C+ 06/22 - 646
	-Julez Le
----
A+ 08/21 - 305
C+ 06/22 - 537
A Insp 10/22 - 750
	-Julez Le
----
100 Hr 05/21 - 99.3
A+ 09/21 - 200.8
B+ 05/22 - 402.30
	-Julez Le
----
C+ 06/19 - 706 hobbs
A+ 07/20 - 881
B+ 04/21 - 930
A+ 12/21 - 1140
	-Julez Le
----
C+ 12/21
A- 09/22
B+ 12/22
	-Julez Le
----
A Insp 11/20 - 181
B+ 07/21 - 339
A Insp 02/22 - 533
C+ 06/22 - 646
	-Julez Le
----
A+ 11/20 - 638
B+ 09/21 – 745
A+ 07/ 22 - 807
	-Julez Le
----
100 hr scheduled 11/2022
	-Julez Le
----
B Insp 07/21 - 412
A+ 11/21 – 511
C Insp 05/22 - 718
A+ 11/22
	-Julez Le
----
B+ 12/19 - 1472
A Insp 06/20 - 1672
C+ 02/21 – 1913
A+ 09/21 - 2108
	-Julez Le
----
B+ 11/20 - 1782
A+ 03/22 - 1871
	-Julez Le
----
C+ 06/20 – 1132
A+ 04/21 – 1188
B+ 11/21 – 1213
	-Julez Le</t>
        </r>
      </text>
    </comment>
    <comment ref="B21" authorId="0" shapeId="0" xr:uid="{00000000-0006-0000-0000-000002000000}">
      <text>
        <r>
          <rPr>
            <sz val="11"/>
            <color theme="1"/>
            <rFont val="Calibri"/>
            <scheme val="minor"/>
          </rPr>
          <t>Special Formula
	-Sam Sandifer</t>
        </r>
      </text>
    </comment>
    <comment ref="B33" authorId="0" shapeId="0" xr:uid="{00000000-0006-0000-0000-000001000000}">
      <text>
        <r>
          <rPr>
            <sz val="11"/>
            <color theme="1"/>
            <rFont val="Calibri"/>
            <scheme val="minor"/>
          </rPr>
          <t>Special Pricing non standard formula
	-Sam Sandifer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200-000001000000}">
      <text>
        <r>
          <rPr>
            <sz val="11"/>
            <color theme="1"/>
            <rFont val="Calibri"/>
            <scheme val="minor"/>
          </rPr>
          <t>Based on 1 45min meeting per week
	-Samuel Sandifer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300-000002000000}">
      <text>
        <r>
          <rPr>
            <sz val="11"/>
            <color theme="1"/>
            <rFont val="Calibri"/>
            <scheme val="minor"/>
          </rPr>
          <t>UNK data
	-Samuel Sandifer</t>
        </r>
      </text>
    </comment>
    <comment ref="N6" authorId="0" shapeId="0" xr:uid="{00000000-0006-0000-0300-000005000000}">
      <text>
        <r>
          <rPr>
            <sz val="11"/>
            <color theme="1"/>
            <rFont val="Calibri"/>
            <scheme val="minor"/>
          </rPr>
          <t>How much time does Brungard want to take of during Christmas?
	-Samuel Sandifer</t>
        </r>
      </text>
    </comment>
    <comment ref="AA6" authorId="0" shapeId="0" xr:uid="{00000000-0006-0000-0300-000003000000}">
      <text>
        <r>
          <rPr>
            <sz val="11"/>
            <color theme="1"/>
            <rFont val="Calibri"/>
            <scheme val="minor"/>
          </rPr>
          <t>How much time does Brungard want to take of during Christmas?
	-Samuel Sandifer</t>
        </r>
      </text>
    </comment>
    <comment ref="AN6" authorId="0" shapeId="0" xr:uid="{00000000-0006-0000-0300-000001000000}">
      <text>
        <r>
          <rPr>
            <sz val="11"/>
            <color theme="1"/>
            <rFont val="Calibri"/>
            <scheme val="minor"/>
          </rPr>
          <t>How much time does Brungard want to take of during Christmas?
	-Samuel Sandifer</t>
        </r>
      </text>
    </comment>
    <comment ref="A19" authorId="0" shapeId="0" xr:uid="{00000000-0006-0000-0300-000004000000}">
      <text>
        <r>
          <rPr>
            <sz val="11"/>
            <color theme="1"/>
            <rFont val="Calibri"/>
            <scheme val="minor"/>
          </rPr>
          <t>Check for doubl counting with holidays already removed
	-Samuel Sandifer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6" authorId="0" shapeId="0" xr:uid="{00000000-0006-0000-0400-000001000000}">
      <text>
        <r>
          <rPr>
            <sz val="11"/>
            <color theme="1"/>
            <rFont val="Calibri"/>
            <scheme val="minor"/>
          </rPr>
          <t>Excluding Ray from the team sum
	-Brenda Rodriguez</t>
        </r>
      </text>
    </comment>
  </commentList>
</comments>
</file>

<file path=xl/sharedStrings.xml><?xml version="1.0" encoding="utf-8"?>
<sst xmlns="http://schemas.openxmlformats.org/spreadsheetml/2006/main" count="860" uniqueCount="323">
  <si>
    <t>Type of Annuals per Month</t>
  </si>
  <si>
    <t>Totals</t>
  </si>
  <si>
    <t>Total hired billable technicans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</si>
  <si>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</si>
  <si>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</si>
  <si>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</si>
  <si>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</si>
  <si>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</si>
  <si>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</si>
  <si>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</si>
  <si>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</si>
  <si>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</si>
  <si>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</si>
  <si>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</si>
  <si>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</si>
  <si>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</si>
  <si>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2024 Totals </t>
  </si>
  <si>
    <t xml:space="preserve">2025 Totals </t>
  </si>
  <si>
    <t xml:space="preserve">2026 Totals </t>
  </si>
  <si>
    <t>JSX Heavy Inspection</t>
  </si>
  <si>
    <t>JSX Line Check</t>
  </si>
  <si>
    <t>JSX First Flight of the day</t>
  </si>
  <si>
    <t>JSX AOG MX</t>
  </si>
  <si>
    <t>Retail MX</t>
  </si>
  <si>
    <t>Retail AOG</t>
  </si>
  <si>
    <t>Placeholder</t>
  </si>
  <si>
    <t>Total Aircraft</t>
  </si>
  <si>
    <t>Hangar Capacity</t>
  </si>
  <si>
    <t>Total hangar bays unused</t>
  </si>
  <si>
    <t>Hours per month</t>
  </si>
  <si>
    <t>INSP Hours</t>
  </si>
  <si>
    <t>Repair Hours</t>
  </si>
  <si>
    <t>Total Hours</t>
  </si>
  <si>
    <t>Labor Rates</t>
  </si>
  <si>
    <t xml:space="preserve">JSX Heavy Inspection </t>
  </si>
  <si>
    <t>Total Revenue</t>
  </si>
  <si>
    <t>Effective Techs</t>
  </si>
  <si>
    <t>Billable hours free</t>
  </si>
  <si>
    <t>Unused hours</t>
  </si>
  <si>
    <t>Unused capacity %</t>
  </si>
  <si>
    <t>Total Cost of Labor</t>
  </si>
  <si>
    <t>Hanger 4</t>
  </si>
  <si>
    <t>Training</t>
  </si>
  <si>
    <t>Saftey Investments</t>
  </si>
  <si>
    <t>Tooling investments</t>
  </si>
  <si>
    <t>Shop investments</t>
  </si>
  <si>
    <t>Marketing</t>
  </si>
  <si>
    <t>Recruting</t>
  </si>
  <si>
    <t>Facilities Main hangar</t>
  </si>
  <si>
    <t>Facilities AUX Hangar</t>
  </si>
  <si>
    <t>Rennovations</t>
  </si>
  <si>
    <t>Bonuses</t>
  </si>
  <si>
    <t>Tool allowance</t>
  </si>
  <si>
    <t>Total Costs</t>
  </si>
  <si>
    <t>Gross Profit</t>
  </si>
  <si>
    <t>Total Free Cash Flow</t>
  </si>
  <si>
    <t>Rolling Sum</t>
  </si>
  <si>
    <t>Calibrated MH</t>
  </si>
  <si>
    <t>Buffer</t>
  </si>
  <si>
    <t>Cash Flow</t>
  </si>
  <si>
    <t>Total costs</t>
  </si>
  <si>
    <t>Total income</t>
  </si>
  <si>
    <t>Total cash flow</t>
  </si>
  <si>
    <t>Percentage</t>
  </si>
  <si>
    <t>Billable time worksheet</t>
  </si>
  <si>
    <t>Mins</t>
  </si>
  <si>
    <t>Hours</t>
  </si>
  <si>
    <t>Time in day</t>
  </si>
  <si>
    <t>Daily Breaks</t>
  </si>
  <si>
    <t>Daily Lunches</t>
  </si>
  <si>
    <t>Daily Clean up</t>
  </si>
  <si>
    <t xml:space="preserve">Daily Meetings </t>
  </si>
  <si>
    <t>Total reduction</t>
  </si>
  <si>
    <t xml:space="preserve">Daily billiable </t>
  </si>
  <si>
    <t>Total time available for productive work</t>
  </si>
  <si>
    <t>Total billable time in day</t>
  </si>
  <si>
    <t>Total billable time with OT</t>
  </si>
  <si>
    <t>Overtime Assumption</t>
  </si>
  <si>
    <t>Work Buffer</t>
  </si>
  <si>
    <t>Total number of technicans BJC</t>
  </si>
  <si>
    <t>Total number of tech SLC</t>
  </si>
  <si>
    <t xml:space="preserve">Avalible time for billing </t>
  </si>
  <si>
    <t>Start billiable amount NEW TECH</t>
  </si>
  <si>
    <t>Change needed</t>
  </si>
  <si>
    <t>Months to fully billable</t>
  </si>
  <si>
    <t>Increase % per month</t>
  </si>
  <si>
    <t>Months to Average work load</t>
  </si>
  <si>
    <t>High</t>
  </si>
  <si>
    <t>Medium</t>
  </si>
  <si>
    <t>Low</t>
  </si>
  <si>
    <t>Helper not on path to A&amp;P - Extra Low</t>
  </si>
  <si>
    <t>Position reducitons</t>
  </si>
  <si>
    <t>Of total</t>
  </si>
  <si>
    <t>AP</t>
  </si>
  <si>
    <t>CC - Crew Chief</t>
  </si>
  <si>
    <t>AV - Avionics Tech</t>
  </si>
  <si>
    <t>AV CC - Avonics Crew Chief</t>
  </si>
  <si>
    <t xml:space="preserve">SF- Shop Foreman </t>
  </si>
  <si>
    <t xml:space="preserve">DOM </t>
  </si>
  <si>
    <t>PTO</t>
  </si>
  <si>
    <t>January</t>
  </si>
  <si>
    <t>Febuary</t>
  </si>
  <si>
    <t>March</t>
  </si>
  <si>
    <t xml:space="preserve">April 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</si>
  <si>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</si>
  <si>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</si>
  <si>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</si>
  <si>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</si>
  <si>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</si>
  <si>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</si>
  <si>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</si>
  <si>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CO AV</t>
  </si>
  <si>
    <t>CA AV</t>
  </si>
  <si>
    <t>CO MX</t>
  </si>
  <si>
    <t>CA MX</t>
  </si>
  <si>
    <t>Total</t>
  </si>
  <si>
    <t>Average hours per month per person excluding december</t>
  </si>
  <si>
    <t>Number of technicians</t>
  </si>
  <si>
    <t>Total hours lost per month</t>
  </si>
  <si>
    <t>Total hours in 4 weeks (BJC 18 techs)</t>
  </si>
  <si>
    <t>% LOSS</t>
  </si>
  <si>
    <t>Monthly turn rate / bay 6 day turn</t>
  </si>
  <si>
    <t>Total person loss</t>
  </si>
  <si>
    <t>Bays</t>
  </si>
  <si>
    <t>Total WO slots</t>
  </si>
  <si>
    <t>Total compensation cashflow non-executive positions</t>
  </si>
  <si>
    <t>Hourly rates</t>
  </si>
  <si>
    <t>Sam Perez Service Manager (AP/IA)</t>
  </si>
  <si>
    <t>Joe Vigil AP/AV</t>
  </si>
  <si>
    <t>X Mech 1, 1-3YR AP</t>
  </si>
  <si>
    <t>X Mech 2, 1-3YR Entry AP</t>
  </si>
  <si>
    <t>X Mech 3,  Entry AP</t>
  </si>
  <si>
    <t>X Mech 4,  Entry AP</t>
  </si>
  <si>
    <t>Detailer and line support</t>
  </si>
  <si>
    <t>Average</t>
  </si>
  <si>
    <t>Executive compensation</t>
  </si>
  <si>
    <t>Sam Sandifer DOM</t>
  </si>
  <si>
    <t>Parts clerk</t>
  </si>
  <si>
    <t>Piston shop rate / HR</t>
  </si>
  <si>
    <t>Turbine shop rate / HR</t>
  </si>
  <si>
    <t>Total compensation</t>
  </si>
  <si>
    <t>Monthly breakdown</t>
  </si>
  <si>
    <t>Paid Hours</t>
  </si>
  <si>
    <t>2024 Totals</t>
  </si>
  <si>
    <t>2025 Totals</t>
  </si>
  <si>
    <t>2026 Totals</t>
  </si>
  <si>
    <t>BDU Actual Techs</t>
  </si>
  <si>
    <t>MH Hours paid per day</t>
  </si>
  <si>
    <t>Working days in month (minus holiday)</t>
  </si>
  <si>
    <t>Paid holidays</t>
  </si>
  <si>
    <t>Total paid MH per day</t>
  </si>
  <si>
    <t>Average Montly MH</t>
  </si>
  <si>
    <t xml:space="preserve">OT Assumption: </t>
  </si>
  <si>
    <t>Daily OT hours</t>
  </si>
  <si>
    <t>Monthly OT MH hours</t>
  </si>
  <si>
    <t>paid hrs per day</t>
  </si>
  <si>
    <t>Total paid hours monthly</t>
  </si>
  <si>
    <t xml:space="preserve">Utilization Assumption: </t>
  </si>
  <si>
    <t>Total possible billable hours</t>
  </si>
  <si>
    <t>Utilization % of billable hours</t>
  </si>
  <si>
    <t xml:space="preserve">Correct number of 100% Technicians adding vlaue </t>
  </si>
  <si>
    <t xml:space="preserve">Total PTO hours loss </t>
  </si>
  <si>
    <t>Total calibrated billable hours</t>
  </si>
  <si>
    <t>Costs</t>
  </si>
  <si>
    <t>Cost of holiday</t>
  </si>
  <si>
    <t>Average Daily MH Cost</t>
  </si>
  <si>
    <t>Average Daily OT MH Cost</t>
  </si>
  <si>
    <t>Average Monthly MH cost</t>
  </si>
  <si>
    <t>Average Monthly Hour Cost</t>
  </si>
  <si>
    <t>Executive Overhead</t>
  </si>
  <si>
    <t>Non-billable investments Sam S.</t>
  </si>
  <si>
    <t>Detailer / Line service Lead</t>
  </si>
  <si>
    <t xml:space="preserve">Detailer / Line service </t>
  </si>
  <si>
    <t>Parts Clerk</t>
  </si>
  <si>
    <t>Shop Manager</t>
  </si>
  <si>
    <t>Total labor cost</t>
  </si>
  <si>
    <t>BJC</t>
  </si>
  <si>
    <t>Avex TBM</t>
  </si>
  <si>
    <t>AVEX TBM</t>
  </si>
  <si>
    <t>Part 91 - Turbo Prop</t>
  </si>
  <si>
    <t>Part 121 - Turbo Prop</t>
  </si>
  <si>
    <t>Part 135 -Turbo Prop</t>
  </si>
  <si>
    <t>Part 145 - Turbo Prop</t>
  </si>
  <si>
    <t>Part 91 - Jet</t>
  </si>
  <si>
    <t>Part 121 - Jet</t>
  </si>
  <si>
    <t>Part 135 - Jet</t>
  </si>
  <si>
    <t>Part 145 - Jet</t>
  </si>
  <si>
    <t>Part 91 - Piston</t>
  </si>
  <si>
    <t>Part 121 - Piston</t>
  </si>
  <si>
    <t>Part 135 - Piston</t>
  </si>
  <si>
    <t>Part 145 -  Piston</t>
  </si>
  <si>
    <t>Millitary Helicopter</t>
  </si>
  <si>
    <t>Millitary Fixed wing</t>
  </si>
  <si>
    <t>Expirimental GA</t>
  </si>
  <si>
    <t>PT6</t>
  </si>
  <si>
    <t>RATE</t>
  </si>
  <si>
    <t>True Total</t>
  </si>
  <si>
    <t>Corrected Totals</t>
  </si>
  <si>
    <t xml:space="preserve">EXP YRS </t>
  </si>
  <si>
    <t xml:space="preserve">EXP </t>
  </si>
  <si>
    <t>Column1</t>
  </si>
  <si>
    <t>Billing growth class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</si>
  <si>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</si>
  <si>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</si>
  <si>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</si>
  <si>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</si>
  <si>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</si>
  <si>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</si>
  <si>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</si>
  <si>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</si>
  <si>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</si>
  <si>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</si>
  <si>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</si>
  <si>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</si>
  <si>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</si>
  <si>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</si>
  <si>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</si>
  <si>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</si>
  <si>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</si>
  <si>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</si>
  <si>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</si>
  <si>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</si>
  <si>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</si>
  <si>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</si>
  <si>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</si>
  <si>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</si>
  <si>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</si>
  <si>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</si>
  <si>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</si>
  <si>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</si>
  <si>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</si>
  <si>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</si>
  <si>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</si>
  <si>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</si>
  <si>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</si>
  <si>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</si>
  <si>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</si>
  <si>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</si>
  <si>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</si>
  <si>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</si>
  <si>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Sam Sandifer</t>
  </si>
  <si>
    <t>DOM</t>
  </si>
  <si>
    <t>Sam Perez</t>
  </si>
  <si>
    <t>SM</t>
  </si>
  <si>
    <t>Joe Vigil</t>
  </si>
  <si>
    <t>AP/AV</t>
  </si>
  <si>
    <t>mech 1</t>
  </si>
  <si>
    <t>mech 2</t>
  </si>
  <si>
    <t>mech 3</t>
  </si>
  <si>
    <t>Mech 4</t>
  </si>
  <si>
    <t>Detailer/ line</t>
  </si>
  <si>
    <t>Det</t>
  </si>
  <si>
    <t>Averages</t>
  </si>
  <si>
    <t>Add relavent experience prior to avex to this workseet, it is currently incomplete and has placeholders (CMA)</t>
  </si>
  <si>
    <t>SLC</t>
  </si>
  <si>
    <t>Name</t>
  </si>
  <si>
    <t>Month</t>
  </si>
  <si>
    <t>10th</t>
  </si>
  <si>
    <t>Experience type</t>
  </si>
  <si>
    <t>Converiosn rate</t>
  </si>
  <si>
    <t>PT6 Engine</t>
  </si>
  <si>
    <t xml:space="preserve">Efficiency % change from low to average on standard work </t>
  </si>
  <si>
    <t>Total days in 2023</t>
  </si>
  <si>
    <t>Average days per month</t>
  </si>
  <si>
    <t>Total number of technicians in BJC</t>
  </si>
  <si>
    <t>Total number of technicians in SLC</t>
  </si>
  <si>
    <t>Months to hit fully billiable target</t>
  </si>
  <si>
    <t>Target to High work est</t>
  </si>
  <si>
    <t xml:space="preserve">Current </t>
  </si>
  <si>
    <t xml:space="preserve"> Billing growth class</t>
  </si>
  <si>
    <t xml:space="preserve">Position </t>
  </si>
  <si>
    <t>Billing Rate Growth</t>
  </si>
  <si>
    <t>Starting Efficientcy</t>
  </si>
  <si>
    <t>Overall Job Reduction</t>
  </si>
  <si>
    <t>Jan Rate</t>
  </si>
  <si>
    <t>Jan BH</t>
  </si>
  <si>
    <t>Feb Rate</t>
  </si>
  <si>
    <t>Feb BH</t>
  </si>
  <si>
    <t>Mar Rate</t>
  </si>
  <si>
    <t>Mar BH</t>
  </si>
  <si>
    <t>Apr Rate</t>
  </si>
  <si>
    <t>Apr BH</t>
  </si>
  <si>
    <t>May Rate</t>
  </si>
  <si>
    <t>May BH</t>
  </si>
  <si>
    <t>Jun Rate</t>
  </si>
  <si>
    <t>Jun BH</t>
  </si>
  <si>
    <t>Jul Rate</t>
  </si>
  <si>
    <t>Jul BH</t>
  </si>
  <si>
    <t>Aug Rate</t>
  </si>
  <si>
    <t>Aug BH</t>
  </si>
  <si>
    <t>Sep Rate</t>
  </si>
  <si>
    <t>Sep BH</t>
  </si>
  <si>
    <t>Oct Rate</t>
  </si>
  <si>
    <t>Oct BH</t>
  </si>
  <si>
    <t>Nov Rate</t>
  </si>
  <si>
    <t>Nov BH</t>
  </si>
  <si>
    <t>Dec Rate</t>
  </si>
  <si>
    <t>Dec BH</t>
  </si>
  <si>
    <t>Avionics lead</t>
  </si>
  <si>
    <t>Avg</t>
  </si>
  <si>
    <t>Lead</t>
  </si>
  <si>
    <t>AV CC</t>
  </si>
  <si>
    <t>CC</t>
  </si>
  <si>
    <t>Med</t>
  </si>
  <si>
    <t>Max</t>
  </si>
  <si>
    <t>Difference</t>
  </si>
  <si>
    <t>Total utilization</t>
  </si>
  <si>
    <t>Month over month growth</t>
  </si>
  <si>
    <t>Total number of 100% Technicians</t>
  </si>
  <si>
    <t xml:space="preserve">Specific productivity </t>
  </si>
  <si>
    <t>Jan billable rate</t>
  </si>
  <si>
    <t>Feb billable rate</t>
  </si>
  <si>
    <t>Mar billable rate</t>
  </si>
  <si>
    <t>Apr  billable rate</t>
  </si>
  <si>
    <t>May billable  rate</t>
  </si>
  <si>
    <t>Jun billable rate</t>
  </si>
  <si>
    <t>Jul billable rate</t>
  </si>
  <si>
    <t>Aug billable rate</t>
  </si>
  <si>
    <t>Sep billable rate</t>
  </si>
  <si>
    <t>Oct billable rate</t>
  </si>
  <si>
    <t>Nov billable rate</t>
  </si>
  <si>
    <t>Dec billable rate</t>
  </si>
  <si>
    <t xml:space="preserve">Drew Sandoval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</si>
</sst>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&quot;$&quot;#,##0.00"/>
    <numFmt numFmtId="169" formatCode="0.0%"/>
    <numFmt numFmtId="170" formatCode="0.000"/>
  </numFmts>
  <fonts count="28"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b/>
      <sz val="9"/>
      <color rgb="FF000000"/>
      <name val="&quot;Google Sans Mono&quot;"/>
    </font>
    <font>
      <sz val="11"/>
      <color theme="1"/>
      <name val="Calibri"/>
    </font>
    <font>
      <sz val="11"/>
      <color theme="1"/>
      <name val="Calibri"/>
      <scheme val="minor"/>
    </font>
    <font>
      <sz val="24"/>
      <color rgb="FFC00000"/>
      <name val="Calibri"/>
    </font>
    <font>
      <sz val="24"/>
      <color theme="1"/>
      <name val="Calibri"/>
    </font>
    <font>
      <sz val="24"/>
      <color rgb="FF00B050"/>
      <name val="Calibri"/>
    </font>
    <font>
      <sz val="16"/>
      <color theme="1"/>
      <name val="Calibri"/>
      <scheme val="minor"/>
    </font>
    <font>
      <sz val="10"/>
      <color theme="1"/>
      <name val="Calibri"/>
    </font>
    <font>
      <sz val="10"/>
      <color theme="1"/>
      <name val="Bierstadt"/>
    </font>
    <font>
      <sz val="18"/>
      <color theme="1"/>
      <name val="Calibri"/>
    </font>
    <font>
      <sz val="36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28"/>
      <color theme="1"/>
      <name val="Calibri"/>
    </font>
    <font>
      <sz val="10"/>
      <color rgb="FFFF0000"/>
      <name val="Calibri"/>
    </font>
    <font>
      <b/>
      <sz val="10"/>
      <color rgb="FFFFFFFF"/>
      <name val="Calibri"/>
    </font>
    <font>
      <sz val="36"/>
      <color theme="1"/>
      <name val="Calibri"/>
    </font>
    <font>
      <sz val="9"/>
      <color theme="1"/>
      <name val="Calibri"/>
    </font>
    <font>
      <sz val="11"/>
      <color theme="0"/>
      <name val="Calibri"/>
    </font>
    <font>
      <sz val="20"/>
      <color theme="0"/>
      <name val="Calibri"/>
    </font>
    <font>
      <sz val="11"/>
      <color rgb="FF0000FF"/>
      <name val="Arial Narrow"/>
    </font>
    <font>
      <sz val="11"/>
      <color theme="1"/>
      <name val="Arial Narrow"/>
    </font>
    <font>
      <b/>
      <sz val="11"/>
      <color theme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8EAADB"/>
      </top>
      <bottom/>
      <diagonal/>
    </border>
    <border>
      <left style="medium">
        <color rgb="FF000000"/>
      </left>
      <right style="medium">
        <color rgb="FF000000"/>
      </right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medium">
        <color rgb="FF000000"/>
      </left>
      <right/>
      <top style="thin">
        <color rgb="FF8EAADB"/>
      </top>
      <bottom/>
      <diagonal/>
    </border>
    <border>
      <left style="medium">
        <color rgb="FF000000"/>
      </left>
      <right style="medium">
        <color rgb="FF000000"/>
      </right>
      <top style="thin">
        <color rgb="FF8EAADB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2" borderId="0" xfId="0" applyNumberFormat="1" applyFont="1" applyFill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" fontId="5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6" fillId="0" borderId="0" xfId="0" applyNumberFormat="1" applyFont="1"/>
    <xf numFmtId="1" fontId="5" fillId="0" borderId="1" xfId="0" applyNumberFormat="1" applyFont="1" applyBorder="1"/>
    <xf numFmtId="0" fontId="5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1" fontId="1" fillId="0" borderId="3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/>
    <xf numFmtId="44" fontId="5" fillId="0" borderId="0" xfId="0" applyNumberFormat="1" applyFont="1" applyAlignment="1">
      <alignment horizontal="center" vertical="center"/>
    </xf>
    <xf numFmtId="44" fontId="5" fillId="0" borderId="3" xfId="0" applyNumberFormat="1" applyFont="1" applyBorder="1" applyAlignment="1">
      <alignment horizontal="left" vertical="center"/>
    </xf>
    <xf numFmtId="44" fontId="6" fillId="0" borderId="0" xfId="0" applyNumberFormat="1" applyFont="1" applyAlignment="1">
      <alignment horizontal="left"/>
    </xf>
    <xf numFmtId="44" fontId="5" fillId="0" borderId="3" xfId="0" applyNumberFormat="1" applyFont="1" applyBorder="1" applyAlignment="1">
      <alignment horizontal="left" vertical="center" wrapText="1"/>
    </xf>
    <xf numFmtId="44" fontId="1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4" fontId="1" fillId="0" borderId="0" xfId="0" applyNumberFormat="1" applyFont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/>
    <xf numFmtId="165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right" vertical="center"/>
    </xf>
    <xf numFmtId="165" fontId="5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44" fontId="5" fillId="0" borderId="0" xfId="0" applyNumberFormat="1" applyFont="1"/>
    <xf numFmtId="44" fontId="5" fillId="0" borderId="1" xfId="0" applyNumberFormat="1" applyFont="1" applyBorder="1" applyAlignment="1">
      <alignment horizontal="center"/>
    </xf>
    <xf numFmtId="44" fontId="5" fillId="0" borderId="1" xfId="0" applyNumberFormat="1" applyFont="1" applyBorder="1"/>
    <xf numFmtId="44" fontId="1" fillId="0" borderId="0" xfId="0" applyNumberFormat="1" applyFont="1"/>
    <xf numFmtId="44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4" fontId="5" fillId="0" borderId="7" xfId="0" applyNumberFormat="1" applyFont="1" applyBorder="1"/>
    <xf numFmtId="44" fontId="5" fillId="0" borderId="8" xfId="0" applyNumberFormat="1" applyFont="1" applyBorder="1" applyAlignment="1">
      <alignment horizontal="center"/>
    </xf>
    <xf numFmtId="44" fontId="5" fillId="0" borderId="8" xfId="0" applyNumberFormat="1" applyFont="1" applyBorder="1"/>
    <xf numFmtId="6" fontId="5" fillId="0" borderId="4" xfId="0" applyNumberFormat="1" applyFont="1" applyBorder="1" applyAlignment="1">
      <alignment horizontal="center"/>
    </xf>
    <xf numFmtId="6" fontId="5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/>
    <xf numFmtId="165" fontId="5" fillId="0" borderId="0" xfId="0" applyNumberFormat="1" applyFont="1"/>
    <xf numFmtId="9" fontId="7" fillId="0" borderId="0" xfId="0" applyNumberFormat="1" applyFont="1"/>
    <xf numFmtId="0" fontId="8" fillId="0" borderId="0" xfId="0" applyFont="1"/>
    <xf numFmtId="9" fontId="9" fillId="0" borderId="0" xfId="0" applyNumberFormat="1" applyFont="1"/>
    <xf numFmtId="167" fontId="6" fillId="0" borderId="0" xfId="0" applyNumberFormat="1" applyFont="1"/>
    <xf numFmtId="0" fontId="10" fillId="0" borderId="0" xfId="0" applyFont="1"/>
    <xf numFmtId="167" fontId="5" fillId="0" borderId="0" xfId="0" applyNumberFormat="1" applyFont="1"/>
    <xf numFmtId="2" fontId="6" fillId="0" borderId="0" xfId="0" applyNumberFormat="1" applyFont="1"/>
    <xf numFmtId="1" fontId="5" fillId="0" borderId="0" xfId="0" applyNumberFormat="1" applyFont="1"/>
    <xf numFmtId="0" fontId="1" fillId="0" borderId="0" xfId="0" applyFont="1"/>
    <xf numFmtId="9" fontId="5" fillId="0" borderId="0" xfId="0" applyNumberFormat="1" applyFont="1"/>
    <xf numFmtId="0" fontId="11" fillId="0" borderId="0" xfId="0" applyFont="1"/>
    <xf numFmtId="0" fontId="3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3" fontId="11" fillId="0" borderId="0" xfId="0" applyNumberFormat="1" applyFont="1"/>
    <xf numFmtId="3" fontId="11" fillId="0" borderId="17" xfId="0" applyNumberFormat="1" applyFont="1" applyBorder="1"/>
    <xf numFmtId="3" fontId="11" fillId="0" borderId="18" xfId="0" applyNumberFormat="1" applyFont="1" applyBorder="1"/>
    <xf numFmtId="0" fontId="12" fillId="0" borderId="17" xfId="0" applyFont="1" applyBorder="1"/>
    <xf numFmtId="0" fontId="12" fillId="0" borderId="0" xfId="0" applyFont="1"/>
    <xf numFmtId="0" fontId="11" fillId="0" borderId="18" xfId="0" applyFont="1" applyBorder="1"/>
    <xf numFmtId="0" fontId="11" fillId="0" borderId="17" xfId="0" applyFont="1" applyBorder="1"/>
    <xf numFmtId="2" fontId="11" fillId="0" borderId="0" xfId="0" applyNumberFormat="1" applyFont="1"/>
    <xf numFmtId="0" fontId="11" fillId="0" borderId="0" xfId="0" applyFont="1" applyAlignment="1">
      <alignment horizontal="center"/>
    </xf>
    <xf numFmtId="0" fontId="3" fillId="0" borderId="17" xfId="0" applyFont="1" applyBorder="1"/>
    <xf numFmtId="2" fontId="11" fillId="0" borderId="18" xfId="0" applyNumberFormat="1" applyFont="1" applyBorder="1"/>
    <xf numFmtId="3" fontId="11" fillId="0" borderId="19" xfId="0" applyNumberFormat="1" applyFont="1" applyBorder="1"/>
    <xf numFmtId="3" fontId="11" fillId="0" borderId="20" xfId="0" applyNumberFormat="1" applyFont="1" applyBorder="1"/>
    <xf numFmtId="4" fontId="11" fillId="0" borderId="21" xfId="0" applyNumberFormat="1" applyFont="1" applyBorder="1"/>
    <xf numFmtId="0" fontId="13" fillId="0" borderId="22" xfId="0" applyFont="1" applyBorder="1" applyAlignment="1">
      <alignment vertical="center" wrapText="1"/>
    </xf>
    <xf numFmtId="0" fontId="5" fillId="0" borderId="23" xfId="0" applyFont="1" applyBorder="1"/>
    <xf numFmtId="9" fontId="14" fillId="0" borderId="24" xfId="0" applyNumberFormat="1" applyFont="1" applyBorder="1"/>
    <xf numFmtId="0" fontId="5" fillId="0" borderId="14" xfId="0" applyFont="1" applyBorder="1" applyAlignment="1">
      <alignment wrapText="1"/>
    </xf>
    <xf numFmtId="0" fontId="5" fillId="0" borderId="15" xfId="0" applyFont="1" applyBorder="1"/>
    <xf numFmtId="0" fontId="5" fillId="0" borderId="16" xfId="0" applyFont="1" applyBorder="1"/>
    <xf numFmtId="0" fontId="5" fillId="3" borderId="25" xfId="0" applyFont="1" applyFill="1" applyBorder="1" applyAlignment="1">
      <alignment wrapText="1"/>
    </xf>
    <xf numFmtId="0" fontId="5" fillId="0" borderId="20" xfId="0" applyFont="1" applyBorder="1"/>
    <xf numFmtId="0" fontId="5" fillId="0" borderId="21" xfId="0" applyFont="1" applyBorder="1"/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/>
    <xf numFmtId="10" fontId="5" fillId="0" borderId="0" xfId="0" applyNumberFormat="1" applyFont="1"/>
    <xf numFmtId="0" fontId="5" fillId="0" borderId="18" xfId="0" applyFont="1" applyBorder="1"/>
    <xf numFmtId="0" fontId="1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2" fontId="5" fillId="0" borderId="0" xfId="0" applyNumberFormat="1" applyFont="1"/>
    <xf numFmtId="0" fontId="5" fillId="0" borderId="19" xfId="0" applyFont="1" applyBorder="1"/>
    <xf numFmtId="9" fontId="5" fillId="0" borderId="20" xfId="0" applyNumberFormat="1" applyFont="1" applyBorder="1"/>
    <xf numFmtId="167" fontId="5" fillId="0" borderId="20" xfId="0" applyNumberFormat="1" applyFont="1" applyBorder="1"/>
    <xf numFmtId="2" fontId="5" fillId="0" borderId="20" xfId="0" applyNumberFormat="1" applyFont="1" applyBorder="1"/>
    <xf numFmtId="0" fontId="15" fillId="0" borderId="22" xfId="0" applyFont="1" applyBorder="1"/>
    <xf numFmtId="0" fontId="15" fillId="0" borderId="23" xfId="0" applyFont="1" applyBorder="1"/>
    <xf numFmtId="0" fontId="15" fillId="0" borderId="24" xfId="0" applyFont="1" applyBorder="1"/>
    <xf numFmtId="0" fontId="16" fillId="0" borderId="0" xfId="0" applyFont="1"/>
    <xf numFmtId="0" fontId="15" fillId="0" borderId="0" xfId="0" applyFont="1"/>
    <xf numFmtId="0" fontId="16" fillId="4" borderId="29" xfId="0" applyFont="1" applyFill="1" applyBorder="1"/>
    <xf numFmtId="0" fontId="16" fillId="0" borderId="27" xfId="0" applyFont="1" applyBorder="1"/>
    <xf numFmtId="0" fontId="15" fillId="0" borderId="27" xfId="0" applyFont="1" applyBorder="1"/>
    <xf numFmtId="0" fontId="16" fillId="0" borderId="8" xfId="0" applyFont="1" applyBorder="1" applyAlignment="1">
      <alignment wrapText="1"/>
    </xf>
    <xf numFmtId="0" fontId="16" fillId="0" borderId="8" xfId="0" applyFont="1" applyBorder="1"/>
    <xf numFmtId="0" fontId="1" fillId="0" borderId="30" xfId="0" applyFont="1" applyBorder="1" applyAlignment="1">
      <alignment horizontal="center"/>
    </xf>
    <xf numFmtId="0" fontId="5" fillId="0" borderId="30" xfId="0" applyFont="1" applyBorder="1"/>
    <xf numFmtId="0" fontId="17" fillId="2" borderId="8" xfId="0" applyFont="1" applyFill="1" applyBorder="1"/>
    <xf numFmtId="0" fontId="1" fillId="0" borderId="30" xfId="0" applyFont="1" applyBorder="1" applyAlignment="1">
      <alignment horizontal="center" wrapText="1"/>
    </xf>
    <xf numFmtId="168" fontId="5" fillId="0" borderId="0" xfId="0" applyNumberFormat="1" applyFont="1"/>
    <xf numFmtId="44" fontId="11" fillId="0" borderId="0" xfId="0" applyNumberFormat="1" applyFont="1" applyAlignment="1">
      <alignment horizontal="center" vertical="center" wrapText="1"/>
    </xf>
    <xf numFmtId="0" fontId="1" fillId="0" borderId="5" xfId="0" applyFont="1" applyBorder="1"/>
    <xf numFmtId="6" fontId="18" fillId="5" borderId="7" xfId="0" applyNumberFormat="1" applyFont="1" applyFill="1" applyBorder="1"/>
    <xf numFmtId="0" fontId="5" fillId="0" borderId="6" xfId="0" applyFont="1" applyBorder="1"/>
    <xf numFmtId="0" fontId="6" fillId="5" borderId="0" xfId="0" applyFont="1" applyFill="1"/>
    <xf numFmtId="0" fontId="5" fillId="0" borderId="5" xfId="0" applyFont="1" applyBorder="1"/>
    <xf numFmtId="6" fontId="5" fillId="0" borderId="0" xfId="0" applyNumberFormat="1" applyFont="1"/>
    <xf numFmtId="6" fontId="5" fillId="5" borderId="0" xfId="0" applyNumberFormat="1" applyFont="1" applyFill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2" fontId="19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4" fontId="3" fillId="0" borderId="1" xfId="0" applyNumberFormat="1" applyFont="1" applyBorder="1" applyAlignment="1">
      <alignment horizontal="center" wrapText="1"/>
    </xf>
    <xf numFmtId="3" fontId="11" fillId="0" borderId="0" xfId="0" applyNumberFormat="1" applyFont="1" applyAlignment="1">
      <alignment wrapText="1"/>
    </xf>
    <xf numFmtId="3" fontId="11" fillId="0" borderId="1" xfId="0" applyNumberFormat="1" applyFont="1" applyBorder="1" applyAlignment="1">
      <alignment horizontal="center" wrapText="1"/>
    </xf>
    <xf numFmtId="3" fontId="11" fillId="0" borderId="0" xfId="0" applyNumberFormat="1" applyFont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44" fontId="11" fillId="0" borderId="1" xfId="0" applyNumberFormat="1" applyFont="1" applyBorder="1" applyAlignment="1">
      <alignment horizontal="center" wrapText="1"/>
    </xf>
    <xf numFmtId="1" fontId="11" fillId="0" borderId="0" xfId="0" applyNumberFormat="1" applyFont="1" applyAlignment="1">
      <alignment horizontal="center" vertical="center" wrapText="1"/>
    </xf>
    <xf numFmtId="9" fontId="20" fillId="6" borderId="1" xfId="0" applyNumberFormat="1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9" fontId="11" fillId="0" borderId="0" xfId="0" applyNumberFormat="1" applyFont="1" applyAlignment="1">
      <alignment horizontal="left" wrapText="1"/>
    </xf>
    <xf numFmtId="9" fontId="11" fillId="0" borderId="1" xfId="0" applyNumberFormat="1" applyFont="1" applyBorder="1" applyAlignment="1">
      <alignment horizontal="center" wrapText="1"/>
    </xf>
    <xf numFmtId="167" fontId="11" fillId="0" borderId="0" xfId="0" applyNumberFormat="1" applyFont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0" borderId="0" xfId="0" applyNumberFormat="1" applyFont="1" applyAlignment="1">
      <alignment horizontal="left" wrapText="1"/>
    </xf>
    <xf numFmtId="4" fontId="11" fillId="0" borderId="1" xfId="0" applyNumberFormat="1" applyFont="1" applyBorder="1" applyAlignment="1">
      <alignment horizontal="center" wrapText="1"/>
    </xf>
    <xf numFmtId="4" fontId="11" fillId="0" borderId="0" xfId="0" applyNumberFormat="1" applyFont="1" applyAlignment="1">
      <alignment horizontal="center" vertical="center" wrapText="1"/>
    </xf>
    <xf numFmtId="4" fontId="11" fillId="0" borderId="0" xfId="0" applyNumberFormat="1" applyFont="1" applyAlignment="1">
      <alignment wrapText="1"/>
    </xf>
    <xf numFmtId="3" fontId="11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167" fontId="11" fillId="0" borderId="7" xfId="0" applyNumberFormat="1" applyFont="1" applyBorder="1" applyAlignment="1">
      <alignment horizontal="center" vertical="center" wrapText="1"/>
    </xf>
    <xf numFmtId="169" fontId="19" fillId="0" borderId="0" xfId="0" applyNumberFormat="1" applyFont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9" fontId="19" fillId="0" borderId="0" xfId="0" applyNumberFormat="1" applyFont="1" applyAlignment="1">
      <alignment horizontal="left" wrapText="1"/>
    </xf>
    <xf numFmtId="2" fontId="3" fillId="0" borderId="1" xfId="0" applyNumberFormat="1" applyFont="1" applyBorder="1" applyAlignment="1">
      <alignment horizontal="center" wrapText="1"/>
    </xf>
    <xf numFmtId="167" fontId="11" fillId="0" borderId="1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5" xfId="0" applyNumberFormat="1" applyFont="1" applyBorder="1"/>
    <xf numFmtId="3" fontId="11" fillId="0" borderId="8" xfId="0" applyNumberFormat="1" applyFont="1" applyBorder="1" applyAlignment="1">
      <alignment horizontal="center"/>
    </xf>
    <xf numFmtId="3" fontId="11" fillId="0" borderId="7" xfId="0" applyNumberFormat="1" applyFont="1" applyBorder="1"/>
    <xf numFmtId="3" fontId="11" fillId="0" borderId="8" xfId="0" applyNumberFormat="1" applyFont="1" applyBorder="1"/>
    <xf numFmtId="3" fontId="3" fillId="0" borderId="0" xfId="0" applyNumberFormat="1" applyFont="1" applyAlignment="1">
      <alignment horizontal="center" wrapText="1"/>
    </xf>
    <xf numFmtId="3" fontId="11" fillId="0" borderId="1" xfId="0" applyNumberFormat="1" applyFont="1" applyBorder="1"/>
    <xf numFmtId="44" fontId="11" fillId="0" borderId="0" xfId="0" applyNumberFormat="1" applyFont="1" applyAlignment="1">
      <alignment horizontal="center" vertical="center"/>
    </xf>
    <xf numFmtId="44" fontId="11" fillId="0" borderId="1" xfId="0" applyNumberFormat="1" applyFont="1" applyBorder="1" applyAlignment="1">
      <alignment horizontal="center" vertical="center"/>
    </xf>
    <xf numFmtId="44" fontId="11" fillId="0" borderId="1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44" fontId="11" fillId="0" borderId="13" xfId="0" applyNumberFormat="1" applyFont="1" applyBorder="1" applyAlignment="1">
      <alignment horizontal="center" vertical="center" wrapText="1"/>
    </xf>
    <xf numFmtId="0" fontId="21" fillId="0" borderId="8" xfId="0" applyFont="1" applyBorder="1"/>
    <xf numFmtId="0" fontId="5" fillId="0" borderId="8" xfId="0" applyFont="1" applyBorder="1" applyAlignment="1">
      <alignment vertical="top"/>
    </xf>
    <xf numFmtId="0" fontId="22" fillId="0" borderId="8" xfId="0" applyFont="1" applyBorder="1"/>
    <xf numFmtId="0" fontId="5" fillId="7" borderId="8" xfId="0" applyFont="1" applyFill="1" applyBorder="1" applyAlignment="1">
      <alignment horizontal="center"/>
    </xf>
    <xf numFmtId="0" fontId="5" fillId="7" borderId="8" xfId="0" applyFont="1" applyFill="1" applyBorder="1"/>
    <xf numFmtId="0" fontId="23" fillId="0" borderId="12" xfId="0" applyFont="1" applyBorder="1"/>
    <xf numFmtId="0" fontId="5" fillId="7" borderId="31" xfId="0" applyFont="1" applyFill="1" applyBorder="1"/>
    <xf numFmtId="0" fontId="5" fillId="0" borderId="11" xfId="0" applyFont="1" applyBorder="1"/>
    <xf numFmtId="0" fontId="16" fillId="0" borderId="6" xfId="0" applyFont="1" applyBorder="1"/>
    <xf numFmtId="0" fontId="16" fillId="0" borderId="10" xfId="0" applyFont="1" applyBorder="1"/>
    <xf numFmtId="0" fontId="5" fillId="0" borderId="2" xfId="0" applyFont="1" applyBorder="1"/>
    <xf numFmtId="0" fontId="5" fillId="7" borderId="32" xfId="0" applyFont="1" applyFill="1" applyBorder="1"/>
    <xf numFmtId="0" fontId="5" fillId="0" borderId="9" xfId="0" applyFont="1" applyBorder="1"/>
    <xf numFmtId="2" fontId="5" fillId="0" borderId="8" xfId="0" applyNumberFormat="1" applyFont="1" applyBorder="1"/>
    <xf numFmtId="0" fontId="24" fillId="4" borderId="29" xfId="0" applyFont="1" applyFill="1" applyBorder="1" applyAlignment="1">
      <alignment vertical="center"/>
    </xf>
    <xf numFmtId="0" fontId="5" fillId="0" borderId="0" xfId="0" applyFont="1" applyAlignment="1">
      <alignment vertical="top"/>
    </xf>
    <xf numFmtId="0" fontId="5" fillId="8" borderId="29" xfId="0" applyFont="1" applyFill="1" applyBorder="1"/>
    <xf numFmtId="0" fontId="25" fillId="0" borderId="0" xfId="0" applyFont="1"/>
    <xf numFmtId="0" fontId="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 applyAlignment="1">
      <alignment horizontal="right"/>
    </xf>
    <xf numFmtId="0" fontId="5" fillId="0" borderId="14" xfId="0" applyFont="1" applyBorder="1"/>
    <xf numFmtId="2" fontId="5" fillId="0" borderId="18" xfId="0" applyNumberFormat="1" applyFont="1" applyBorder="1" applyAlignment="1">
      <alignment horizontal="left"/>
    </xf>
    <xf numFmtId="2" fontId="5" fillId="0" borderId="21" xfId="0" applyNumberFormat="1" applyFont="1" applyBorder="1" applyAlignment="1">
      <alignment horizontal="left"/>
    </xf>
    <xf numFmtId="0" fontId="5" fillId="0" borderId="17" xfId="0" applyFont="1" applyBorder="1" applyAlignment="1">
      <alignment wrapText="1"/>
    </xf>
    <xf numFmtId="3" fontId="6" fillId="0" borderId="0" xfId="0" applyNumberFormat="1" applyFont="1"/>
    <xf numFmtId="3" fontId="5" fillId="0" borderId="18" xfId="0" applyNumberFormat="1" applyFont="1" applyBorder="1"/>
    <xf numFmtId="3" fontId="5" fillId="0" borderId="17" xfId="0" applyNumberFormat="1" applyFont="1" applyBorder="1" applyAlignment="1">
      <alignment wrapText="1"/>
    </xf>
    <xf numFmtId="2" fontId="5" fillId="0" borderId="18" xfId="0" applyNumberFormat="1" applyFont="1" applyBorder="1"/>
    <xf numFmtId="4" fontId="5" fillId="0" borderId="18" xfId="0" applyNumberFormat="1" applyFont="1" applyBorder="1"/>
    <xf numFmtId="0" fontId="5" fillId="0" borderId="19" xfId="0" applyFont="1" applyBorder="1" applyAlignment="1">
      <alignment wrapText="1"/>
    </xf>
    <xf numFmtId="9" fontId="5" fillId="0" borderId="21" xfId="0" applyNumberFormat="1" applyFont="1" applyBorder="1"/>
    <xf numFmtId="0" fontId="5" fillId="0" borderId="0" xfId="0" applyFont="1" applyAlignment="1">
      <alignment wrapText="1"/>
    </xf>
    <xf numFmtId="0" fontId="27" fillId="9" borderId="33" xfId="0" applyFont="1" applyFill="1" applyBorder="1" applyAlignment="1">
      <alignment horizontal="center" vertical="center" wrapText="1"/>
    </xf>
    <xf numFmtId="0" fontId="27" fillId="9" borderId="34" xfId="0" applyFont="1" applyFill="1" applyBorder="1" applyAlignment="1">
      <alignment horizontal="center" vertical="center" wrapText="1"/>
    </xf>
    <xf numFmtId="0" fontId="27" fillId="9" borderId="35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horizontal="center" vertical="center" wrapText="1"/>
    </xf>
    <xf numFmtId="0" fontId="27" fillId="9" borderId="3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7" fontId="5" fillId="8" borderId="33" xfId="0" applyNumberFormat="1" applyFont="1" applyFill="1" applyBorder="1" applyAlignment="1">
      <alignment wrapText="1"/>
    </xf>
    <xf numFmtId="0" fontId="5" fillId="8" borderId="34" xfId="0" applyFont="1" applyFill="1" applyBorder="1"/>
    <xf numFmtId="2" fontId="5" fillId="8" borderId="34" xfId="0" applyNumberFormat="1" applyFont="1" applyFill="1" applyBorder="1"/>
    <xf numFmtId="0" fontId="16" fillId="8" borderId="34" xfId="0" applyFont="1" applyFill="1" applyBorder="1"/>
    <xf numFmtId="10" fontId="5" fillId="8" borderId="34" xfId="0" applyNumberFormat="1" applyFont="1" applyFill="1" applyBorder="1"/>
    <xf numFmtId="9" fontId="5" fillId="8" borderId="34" xfId="0" applyNumberFormat="1" applyFont="1" applyFill="1" applyBorder="1"/>
    <xf numFmtId="0" fontId="16" fillId="8" borderId="40" xfId="0" applyFont="1" applyFill="1" applyBorder="1"/>
    <xf numFmtId="167" fontId="5" fillId="8" borderId="34" xfId="0" applyNumberFormat="1" applyFont="1" applyFill="1" applyBorder="1"/>
    <xf numFmtId="167" fontId="16" fillId="8" borderId="40" xfId="0" applyNumberFormat="1" applyFont="1" applyFill="1" applyBorder="1"/>
    <xf numFmtId="0" fontId="5" fillId="8" borderId="41" xfId="0" applyFont="1" applyFill="1" applyBorder="1"/>
    <xf numFmtId="0" fontId="5" fillId="8" borderId="33" xfId="0" applyFont="1" applyFill="1" applyBorder="1" applyAlignment="1">
      <alignment wrapText="1"/>
    </xf>
    <xf numFmtId="0" fontId="5" fillId="8" borderId="40" xfId="0" applyFont="1" applyFill="1" applyBorder="1"/>
    <xf numFmtId="0" fontId="5" fillId="10" borderId="33" xfId="0" applyFont="1" applyFill="1" applyBorder="1" applyAlignment="1">
      <alignment horizontal="left" wrapText="1"/>
    </xf>
    <xf numFmtId="0" fontId="5" fillId="10" borderId="34" xfId="0" applyFont="1" applyFill="1" applyBorder="1" applyAlignment="1">
      <alignment horizontal="left"/>
    </xf>
    <xf numFmtId="2" fontId="5" fillId="10" borderId="34" xfId="0" applyNumberFormat="1" applyFont="1" applyFill="1" applyBorder="1" applyAlignment="1">
      <alignment horizontal="left"/>
    </xf>
    <xf numFmtId="0" fontId="5" fillId="10" borderId="40" xfId="0" applyFont="1" applyFill="1" applyBorder="1" applyAlignment="1">
      <alignment horizontal="left"/>
    </xf>
    <xf numFmtId="0" fontId="5" fillId="10" borderId="41" xfId="0" applyFont="1" applyFill="1" applyBorder="1" applyAlignment="1">
      <alignment horizontal="left"/>
    </xf>
    <xf numFmtId="0" fontId="5" fillId="0" borderId="42" xfId="0" applyFont="1" applyBorder="1" applyAlignment="1">
      <alignment horizontal="left" wrapText="1"/>
    </xf>
    <xf numFmtId="0" fontId="5" fillId="0" borderId="43" xfId="0" applyFont="1" applyBorder="1" applyAlignment="1">
      <alignment horizontal="left"/>
    </xf>
    <xf numFmtId="2" fontId="5" fillId="0" borderId="43" xfId="0" applyNumberFormat="1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10" borderId="33" xfId="0" applyFont="1" applyFill="1" applyBorder="1" applyAlignment="1">
      <alignment wrapText="1"/>
    </xf>
    <xf numFmtId="0" fontId="5" fillId="10" borderId="34" xfId="0" applyFont="1" applyFill="1" applyBorder="1"/>
    <xf numFmtId="2" fontId="5" fillId="10" borderId="34" xfId="0" applyNumberFormat="1" applyFont="1" applyFill="1" applyBorder="1"/>
    <xf numFmtId="2" fontId="5" fillId="10" borderId="40" xfId="0" applyNumberFormat="1" applyFont="1" applyFill="1" applyBorder="1"/>
    <xf numFmtId="0" fontId="5" fillId="10" borderId="41" xfId="0" applyFont="1" applyFill="1" applyBorder="1"/>
    <xf numFmtId="0" fontId="5" fillId="0" borderId="42" xfId="0" applyFont="1" applyBorder="1" applyAlignment="1">
      <alignment wrapText="1"/>
    </xf>
    <xf numFmtId="0" fontId="5" fillId="0" borderId="43" xfId="0" applyFont="1" applyBorder="1"/>
    <xf numFmtId="2" fontId="5" fillId="0" borderId="43" xfId="0" applyNumberFormat="1" applyFont="1" applyBorder="1"/>
    <xf numFmtId="0" fontId="1" fillId="0" borderId="9" xfId="0" applyFont="1" applyBorder="1"/>
    <xf numFmtId="167" fontId="1" fillId="11" borderId="35" xfId="0" applyNumberFormat="1" applyFont="1" applyFill="1" applyBorder="1"/>
    <xf numFmtId="167" fontId="1" fillId="0" borderId="26" xfId="0" applyNumberFormat="1" applyFont="1" applyBorder="1"/>
    <xf numFmtId="167" fontId="1" fillId="0" borderId="46" xfId="0" applyNumberFormat="1" applyFont="1" applyBorder="1"/>
    <xf numFmtId="0" fontId="5" fillId="10" borderId="47" xfId="0" applyFont="1" applyFill="1" applyBorder="1"/>
    <xf numFmtId="0" fontId="5" fillId="10" borderId="38" xfId="0" applyFont="1" applyFill="1" applyBorder="1"/>
    <xf numFmtId="167" fontId="5" fillId="10" borderId="47" xfId="0" applyNumberFormat="1" applyFont="1" applyFill="1" applyBorder="1"/>
    <xf numFmtId="167" fontId="5" fillId="10" borderId="38" xfId="0" applyNumberFormat="1" applyFont="1" applyFill="1" applyBorder="1"/>
    <xf numFmtId="167" fontId="5" fillId="10" borderId="48" xfId="0" applyNumberFormat="1" applyFont="1" applyFill="1" applyBorder="1"/>
    <xf numFmtId="0" fontId="5" fillId="0" borderId="44" xfId="0" applyFont="1" applyBorder="1"/>
    <xf numFmtId="167" fontId="5" fillId="0" borderId="43" xfId="0" applyNumberFormat="1" applyFont="1" applyBorder="1"/>
    <xf numFmtId="167" fontId="5" fillId="0" borderId="44" xfId="0" applyNumberFormat="1" applyFont="1" applyBorder="1"/>
    <xf numFmtId="167" fontId="5" fillId="0" borderId="45" xfId="0" applyNumberFormat="1" applyFont="1" applyBorder="1"/>
    <xf numFmtId="0" fontId="1" fillId="10" borderId="34" xfId="0" applyFont="1" applyFill="1" applyBorder="1"/>
    <xf numFmtId="0" fontId="5" fillId="10" borderId="40" xfId="0" applyFont="1" applyFill="1" applyBorder="1"/>
    <xf numFmtId="9" fontId="5" fillId="11" borderId="34" xfId="0" applyNumberFormat="1" applyFont="1" applyFill="1" applyBorder="1"/>
    <xf numFmtId="9" fontId="5" fillId="10" borderId="40" xfId="0" applyNumberFormat="1" applyFont="1" applyFill="1" applyBorder="1"/>
    <xf numFmtId="9" fontId="5" fillId="10" borderId="41" xfId="0" applyNumberFormat="1" applyFont="1" applyFill="1" applyBorder="1"/>
    <xf numFmtId="9" fontId="5" fillId="0" borderId="43" xfId="0" applyNumberFormat="1" applyFont="1" applyBorder="1"/>
    <xf numFmtId="9" fontId="5" fillId="0" borderId="44" xfId="0" applyNumberFormat="1" applyFont="1" applyBorder="1"/>
    <xf numFmtId="9" fontId="5" fillId="0" borderId="45" xfId="0" applyNumberFormat="1" applyFont="1" applyBorder="1"/>
    <xf numFmtId="170" fontId="5" fillId="0" borderId="0" xfId="0" applyNumberFormat="1" applyFont="1"/>
    <xf numFmtId="0" fontId="1" fillId="10" borderId="34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2" fontId="5" fillId="0" borderId="21" xfId="0" applyNumberFormat="1" applyFont="1" applyBorder="1"/>
    <xf numFmtId="0" fontId="5" fillId="0" borderId="49" xfId="0" applyFont="1" applyBorder="1"/>
    <xf numFmtId="0" fontId="5" fillId="12" borderId="29" xfId="0" applyFont="1" applyFill="1" applyBorder="1"/>
    <xf numFmtId="0" fontId="5" fillId="8" borderId="34" xfId="0" applyFont="1" applyFill="1" applyBorder="1" applyAlignment="1">
      <alignment vertical="top"/>
    </xf>
    <xf numFmtId="0" fontId="16" fillId="8" borderId="36" xfId="0" applyFont="1" applyFill="1" applyBorder="1"/>
    <xf numFmtId="0" fontId="5" fillId="0" borderId="45" xfId="0" applyFont="1" applyBorder="1"/>
    <xf numFmtId="2" fontId="5" fillId="0" borderId="44" xfId="0" applyNumberFormat="1" applyFont="1" applyBorder="1"/>
    <xf numFmtId="0" fontId="5" fillId="10" borderId="35" xfId="0" applyFont="1" applyFill="1" applyBorder="1"/>
    <xf numFmtId="167" fontId="5" fillId="11" borderId="35" xfId="0" applyNumberFormat="1" applyFont="1" applyFill="1" applyBorder="1"/>
    <xf numFmtId="167" fontId="5" fillId="10" borderId="32" xfId="0" applyNumberFormat="1" applyFont="1" applyFill="1" applyBorder="1"/>
    <xf numFmtId="0" fontId="5" fillId="0" borderId="26" xfId="0" applyFont="1" applyBorder="1"/>
    <xf numFmtId="167" fontId="5" fillId="0" borderId="26" xfId="0" applyNumberFormat="1" applyFont="1" applyBorder="1"/>
    <xf numFmtId="167" fontId="5" fillId="0" borderId="46" xfId="0" applyNumberFormat="1" applyFont="1" applyBorder="1"/>
    <xf numFmtId="167" fontId="5" fillId="10" borderId="34" xfId="0" applyNumberFormat="1" applyFont="1" applyFill="1" applyBorder="1"/>
    <xf numFmtId="167" fontId="5" fillId="10" borderId="40" xfId="0" applyNumberFormat="1" applyFont="1" applyFill="1" applyBorder="1"/>
    <xf numFmtId="167" fontId="5" fillId="10" borderId="41" xfId="0" applyNumberFormat="1" applyFont="1" applyFill="1" applyBorder="1"/>
    <xf numFmtId="0" fontId="1" fillId="0" borderId="43" xfId="0" applyFont="1" applyBorder="1"/>
    <xf numFmtId="9" fontId="5" fillId="10" borderId="34" xfId="0" applyNumberFormat="1" applyFont="1" applyFill="1" applyBorder="1"/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2" fontId="5" fillId="0" borderId="50" xfId="0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16" fillId="0" borderId="0" xfId="0" applyFont="1"/>
  </cellXfs>
  <cellStyles count="1">
    <cellStyle name="Normal" xfId="0" builtinId="0"/>
  </cellStyles>
  <dxfs count="2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Work History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+mn-lt"/>
              </a:defRPr>
            </a:pPr>
            <a:r>
              <a:rPr lang="en-US" sz="2000" b="0" i="0">
                <a:solidFill>
                  <a:srgbClr val="757575"/>
                </a:solidFill>
                <a:latin typeface="+mn-lt"/>
              </a:rPr>
              <a:t>Elevate BJC capacity and demand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work Burden Hrs</c:v>
          </c:tx>
          <c:spPr>
            <a:ln w="19050"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0-DA94-4507-9806-DBFC71EE49F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1-DA94-4507-9806-DBFC71EE49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Visualization!$B$160:$AL$160</c15:sqref>
                  </c15:fullRef>
                </c:ext>
              </c:extLst>
              <c:f>Visualization!$B$160:$AK$160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Visualization!$B$161:$AL$161</c15:sqref>
                  </c15:fullRef>
                </c:ext>
              </c:extLst>
              <c:f>Visualization!$B$161:$AK$161</c:f>
              <c:numCache>
                <c:formatCode>0</c:formatCode>
                <c:ptCount val="36"/>
                <c:pt idx="0">
                  <c:v>3071</c:v>
                </c:pt>
                <c:pt idx="1">
                  <c:v>3106.5</c:v>
                </c:pt>
                <c:pt idx="2">
                  <c:v>3142</c:v>
                </c:pt>
                <c:pt idx="3">
                  <c:v>3177.5</c:v>
                </c:pt>
                <c:pt idx="4">
                  <c:v>3177.5</c:v>
                </c:pt>
                <c:pt idx="5">
                  <c:v>3177.5</c:v>
                </c:pt>
                <c:pt idx="6">
                  <c:v>3213</c:v>
                </c:pt>
                <c:pt idx="7">
                  <c:v>3213</c:v>
                </c:pt>
                <c:pt idx="8">
                  <c:v>3248.5</c:v>
                </c:pt>
                <c:pt idx="9">
                  <c:v>3248.5</c:v>
                </c:pt>
                <c:pt idx="10">
                  <c:v>3248.5</c:v>
                </c:pt>
                <c:pt idx="11">
                  <c:v>3248.5</c:v>
                </c:pt>
                <c:pt idx="12">
                  <c:v>3248.5</c:v>
                </c:pt>
                <c:pt idx="13">
                  <c:v>3248.5</c:v>
                </c:pt>
                <c:pt idx="14">
                  <c:v>3248.5</c:v>
                </c:pt>
                <c:pt idx="15">
                  <c:v>3248.5</c:v>
                </c:pt>
                <c:pt idx="16">
                  <c:v>3248.5</c:v>
                </c:pt>
                <c:pt idx="17">
                  <c:v>248.5</c:v>
                </c:pt>
                <c:pt idx="18">
                  <c:v>3248.5</c:v>
                </c:pt>
                <c:pt idx="19">
                  <c:v>3248.5</c:v>
                </c:pt>
                <c:pt idx="20">
                  <c:v>3248.5</c:v>
                </c:pt>
                <c:pt idx="21">
                  <c:v>3248.5</c:v>
                </c:pt>
                <c:pt idx="22">
                  <c:v>3248.5</c:v>
                </c:pt>
                <c:pt idx="23">
                  <c:v>248.5</c:v>
                </c:pt>
                <c:pt idx="24">
                  <c:v>3248.5</c:v>
                </c:pt>
                <c:pt idx="25">
                  <c:v>3248.5</c:v>
                </c:pt>
                <c:pt idx="26">
                  <c:v>3248.5</c:v>
                </c:pt>
                <c:pt idx="27">
                  <c:v>3248.5</c:v>
                </c:pt>
                <c:pt idx="28">
                  <c:v>3248.5</c:v>
                </c:pt>
                <c:pt idx="29">
                  <c:v>3248.5</c:v>
                </c:pt>
                <c:pt idx="30">
                  <c:v>3248.5</c:v>
                </c:pt>
                <c:pt idx="31">
                  <c:v>3248.5</c:v>
                </c:pt>
                <c:pt idx="32">
                  <c:v>3248.5</c:v>
                </c:pt>
                <c:pt idx="33">
                  <c:v>3248.5</c:v>
                </c:pt>
                <c:pt idx="34">
                  <c:v>3248.5</c:v>
                </c:pt>
                <c:pt idx="35">
                  <c:v>3248.5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4-4507-9806-DBFC71EE49F1}"/>
            </c:ext>
          </c:extLst>
        </c:ser>
        <c:ser>
          <c:idx val="1"/>
          <c:order val="1"/>
          <c:tx>
            <c:v>Billable hours free</c:v>
          </c:tx>
          <c:spPr>
            <a:ln w="19050"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3-DA94-4507-9806-DBFC71EE49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Visualization!$B$160:$AL$160</c15:sqref>
                  </c15:fullRef>
                </c:ext>
              </c:extLst>
              <c:f>Visualization!$B$160:$AK$160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Visualization!$B$162:$AL$162</c15:sqref>
                  </c15:fullRef>
                </c:ext>
              </c:extLst>
              <c:f>Visualization!$B$162:$AK$162</c:f>
              <c:numCache>
                <c:formatCode>0</c:formatCode>
                <c:ptCount val="36"/>
                <c:pt idx="0">
                  <c:v>3260.1920000000009</c:v>
                </c:pt>
                <c:pt idx="1">
                  <c:v>3095.0400000000004</c:v>
                </c:pt>
                <c:pt idx="2">
                  <c:v>3590.496000000001</c:v>
                </c:pt>
                <c:pt idx="3">
                  <c:v>3095.0400000000004</c:v>
                </c:pt>
                <c:pt idx="4">
                  <c:v>3425.3440000000005</c:v>
                </c:pt>
                <c:pt idx="5">
                  <c:v>3425.3440000000005</c:v>
                </c:pt>
                <c:pt idx="6">
                  <c:v>3095.0400000000004</c:v>
                </c:pt>
                <c:pt idx="7">
                  <c:v>3590.496000000001</c:v>
                </c:pt>
                <c:pt idx="8">
                  <c:v>3095.0400000000004</c:v>
                </c:pt>
                <c:pt idx="9">
                  <c:v>3425.3440000000005</c:v>
                </c:pt>
                <c:pt idx="10">
                  <c:v>3095.0400000000004</c:v>
                </c:pt>
                <c:pt idx="11">
                  <c:v>2434.4320000000007</c:v>
                </c:pt>
                <c:pt idx="12">
                  <c:v>3761.76</c:v>
                </c:pt>
                <c:pt idx="13">
                  <c:v>4285.4400000000005</c:v>
                </c:pt>
                <c:pt idx="14">
                  <c:v>4971.4560000000001</c:v>
                </c:pt>
                <c:pt idx="15">
                  <c:v>4285.4400000000005</c:v>
                </c:pt>
                <c:pt idx="16">
                  <c:v>4742.7839999999997</c:v>
                </c:pt>
                <c:pt idx="17">
                  <c:v>4742.7839999999997</c:v>
                </c:pt>
                <c:pt idx="18">
                  <c:v>4285.4400000000005</c:v>
                </c:pt>
                <c:pt idx="19">
                  <c:v>4142.88</c:v>
                </c:pt>
                <c:pt idx="20">
                  <c:v>3571.2000000000003</c:v>
                </c:pt>
                <c:pt idx="21">
                  <c:v>3952.3199999999997</c:v>
                </c:pt>
                <c:pt idx="22">
                  <c:v>3571.2000000000003</c:v>
                </c:pt>
                <c:pt idx="23">
                  <c:v>2808.96</c:v>
                </c:pt>
                <c:pt idx="24">
                  <c:v>3248.5</c:v>
                </c:pt>
                <c:pt idx="25">
                  <c:v>3571.2000000000003</c:v>
                </c:pt>
                <c:pt idx="26">
                  <c:v>4142.88</c:v>
                </c:pt>
                <c:pt idx="27">
                  <c:v>3571.2000000000003</c:v>
                </c:pt>
                <c:pt idx="28">
                  <c:v>3952.3199999999997</c:v>
                </c:pt>
                <c:pt idx="29">
                  <c:v>3952.3199999999997</c:v>
                </c:pt>
                <c:pt idx="30">
                  <c:v>3571.2000000000003</c:v>
                </c:pt>
                <c:pt idx="31">
                  <c:v>4142.88</c:v>
                </c:pt>
                <c:pt idx="32">
                  <c:v>3571.2000000000003</c:v>
                </c:pt>
                <c:pt idx="33">
                  <c:v>3952.3199999999997</c:v>
                </c:pt>
                <c:pt idx="34">
                  <c:v>3571.2000000000003</c:v>
                </c:pt>
                <c:pt idx="35">
                  <c:v>2808.96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94-4507-9806-DBFC71EE49F1}"/>
            </c:ext>
          </c:extLst>
        </c:ser>
        <c:ser>
          <c:idx val="2"/>
          <c:order val="2"/>
          <c:tx>
            <c:v>Buffer</c:v>
          </c:tx>
          <c:spPr>
            <a:ln cmpd="sng">
              <a:solidFill>
                <a:srgbClr val="A5A5A5"/>
              </a:solidFill>
              <a:prstDash val="lgDash"/>
            </a:ln>
          </c:spPr>
          <c:marker>
            <c:symbol val="none"/>
          </c:marker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5-DA94-4507-9806-DBFC71EE49F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Visualization!$B$160:$AL$160</c15:sqref>
                  </c15:fullRef>
                </c:ext>
              </c:extLst>
              <c:f>Visualization!$B$160:$AK$160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Visualization!$B$163:$AL$163</c15:sqref>
                  </c15:fullRef>
                </c:ext>
              </c:extLst>
              <c:f>Visualization!$B$163:$AK$163</c:f>
              <c:numCache>
                <c:formatCode>0</c:formatCode>
                <c:ptCount val="36"/>
                <c:pt idx="0">
                  <c:v>2934.1728000000007</c:v>
                </c:pt>
                <c:pt idx="1">
                  <c:v>2785.5360000000005</c:v>
                </c:pt>
                <c:pt idx="2">
                  <c:v>3231.4464000000007</c:v>
                </c:pt>
                <c:pt idx="3">
                  <c:v>2785.5360000000005</c:v>
                </c:pt>
                <c:pt idx="4">
                  <c:v>3082.8096000000005</c:v>
                </c:pt>
                <c:pt idx="5">
                  <c:v>3082.8096000000005</c:v>
                </c:pt>
                <c:pt idx="6">
                  <c:v>2785.5360000000005</c:v>
                </c:pt>
                <c:pt idx="7">
                  <c:v>3231.4464000000007</c:v>
                </c:pt>
                <c:pt idx="8">
                  <c:v>2785.5360000000005</c:v>
                </c:pt>
                <c:pt idx="9">
                  <c:v>3082.8096000000005</c:v>
                </c:pt>
                <c:pt idx="10">
                  <c:v>2785.5360000000005</c:v>
                </c:pt>
                <c:pt idx="11">
                  <c:v>2190.9888000000005</c:v>
                </c:pt>
                <c:pt idx="12">
                  <c:v>3385.5840000000003</c:v>
                </c:pt>
                <c:pt idx="13">
                  <c:v>3856.8960000000006</c:v>
                </c:pt>
                <c:pt idx="14">
                  <c:v>4474.3104000000003</c:v>
                </c:pt>
                <c:pt idx="15">
                  <c:v>3856.8960000000006</c:v>
                </c:pt>
                <c:pt idx="16">
                  <c:v>4268.5055999999995</c:v>
                </c:pt>
                <c:pt idx="17">
                  <c:v>4268.5055999999995</c:v>
                </c:pt>
                <c:pt idx="18">
                  <c:v>3856.8960000000006</c:v>
                </c:pt>
                <c:pt idx="19">
                  <c:v>3728.5920000000001</c:v>
                </c:pt>
                <c:pt idx="20">
                  <c:v>3214.0800000000004</c:v>
                </c:pt>
                <c:pt idx="21">
                  <c:v>3557.0879999999997</c:v>
                </c:pt>
                <c:pt idx="22">
                  <c:v>3214.0800000000004</c:v>
                </c:pt>
                <c:pt idx="23">
                  <c:v>2528.0639999999999</c:v>
                </c:pt>
                <c:pt idx="24">
                  <c:v>2923.65</c:v>
                </c:pt>
                <c:pt idx="25">
                  <c:v>3214.0800000000004</c:v>
                </c:pt>
                <c:pt idx="26">
                  <c:v>3728.5920000000001</c:v>
                </c:pt>
                <c:pt idx="27">
                  <c:v>3214.0800000000004</c:v>
                </c:pt>
                <c:pt idx="28">
                  <c:v>3557.0879999999997</c:v>
                </c:pt>
                <c:pt idx="29">
                  <c:v>3557.0879999999997</c:v>
                </c:pt>
                <c:pt idx="30">
                  <c:v>3214.0800000000004</c:v>
                </c:pt>
                <c:pt idx="31">
                  <c:v>3728.5920000000001</c:v>
                </c:pt>
                <c:pt idx="32">
                  <c:v>3214.0800000000004</c:v>
                </c:pt>
                <c:pt idx="33">
                  <c:v>3557.0879999999997</c:v>
                </c:pt>
                <c:pt idx="34">
                  <c:v>3214.0800000000004</c:v>
                </c:pt>
                <c:pt idx="35">
                  <c:v>2528.0639999999999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94-4507-9806-DBFC71EE4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759009"/>
        <c:axId val="943178344"/>
      </c:lineChart>
      <c:catAx>
        <c:axId val="696759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178344"/>
        <c:crosses val="autoZero"/>
        <c:auto val="1"/>
        <c:lblAlgn val="ctr"/>
        <c:lblOffset val="100"/>
        <c:noMultiLvlLbl val="1"/>
      </c:catAx>
      <c:valAx>
        <c:axId val="943178344"/>
        <c:scaling>
          <c:orientation val="minMax"/>
          <c:max val="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6759009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Elevate individual technician growth projections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Sam Sandifer DOM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Visualization!$B$117:$M$117</c:f>
              <c:numCache>
                <c:formatCode>0.0</c:formatCode>
                <c:ptCount val="12"/>
                <c:pt idx="0">
                  <c:v>164.56825000000001</c:v>
                </c:pt>
                <c:pt idx="1">
                  <c:v>164.56825000000001</c:v>
                </c:pt>
                <c:pt idx="2">
                  <c:v>164.56825000000001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B-4AEB-9BBD-E65DBCE0C86D}"/>
            </c:ext>
          </c:extLst>
        </c:ser>
        <c:ser>
          <c:idx val="1"/>
          <c:order val="1"/>
          <c:tx>
            <c:v>Sam Perez Service Manager (AP/IA)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Visualization!$B$118:$M$118</c:f>
              <c:numCache>
                <c:formatCode>0.0</c:formatCode>
                <c:ptCount val="12"/>
                <c:pt idx="0">
                  <c:v>82.284125000000003</c:v>
                </c:pt>
                <c:pt idx="1">
                  <c:v>82.284125000000003</c:v>
                </c:pt>
                <c:pt idx="2">
                  <c:v>82.284125000000003</c:v>
                </c:pt>
                <c:pt idx="3">
                  <c:v>82.284125000000003</c:v>
                </c:pt>
                <c:pt idx="4">
                  <c:v>82.284125000000003</c:v>
                </c:pt>
                <c:pt idx="5">
                  <c:v>82.284125000000003</c:v>
                </c:pt>
                <c:pt idx="6">
                  <c:v>82.284125000000003</c:v>
                </c:pt>
                <c:pt idx="7">
                  <c:v>82.284125000000003</c:v>
                </c:pt>
                <c:pt idx="8">
                  <c:v>82.284125000000003</c:v>
                </c:pt>
                <c:pt idx="9">
                  <c:v>82.284125000000003</c:v>
                </c:pt>
                <c:pt idx="10">
                  <c:v>82.284125000000003</c:v>
                </c:pt>
                <c:pt idx="11">
                  <c:v>82.284125000000003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3B-4AEB-9BBD-E65DBCE0C86D}"/>
            </c:ext>
          </c:extLst>
        </c:ser>
        <c:ser>
          <c:idx val="2"/>
          <c:order val="2"/>
          <c:tx>
            <c:v>Joe Vigil AP/AV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Visualization!$B$119:$M$119</c:f>
              <c:numCache>
                <c:formatCode>0.0</c:formatCode>
                <c:ptCount val="12"/>
                <c:pt idx="0">
                  <c:v>164.56825000000001</c:v>
                </c:pt>
                <c:pt idx="1">
                  <c:v>164.56825000000001</c:v>
                </c:pt>
                <c:pt idx="2">
                  <c:v>164.56825000000001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3B-4AEB-9BBD-E65DBCE0C86D}"/>
            </c:ext>
          </c:extLst>
        </c:ser>
        <c:ser>
          <c:idx val="3"/>
          <c:order val="3"/>
          <c:tx>
            <c:v>X Mech 1, 1-3YR AP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Visualization!$B$120:$M$120</c:f>
              <c:numCache>
                <c:formatCode>0.0</c:formatCode>
                <c:ptCount val="12"/>
                <c:pt idx="0">
                  <c:v>115.19777499999999</c:v>
                </c:pt>
                <c:pt idx="1">
                  <c:v>143.99721875</c:v>
                </c:pt>
                <c:pt idx="2">
                  <c:v>164.56825000000001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3B-4AEB-9BBD-E65DBCE0C86D}"/>
            </c:ext>
          </c:extLst>
        </c:ser>
        <c:ser>
          <c:idx val="4"/>
          <c:order val="4"/>
          <c:tx>
            <c:v>X Mech 2, 1-3YR Entry AP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Visualization!$B$121:$M$121</c:f>
              <c:numCache>
                <c:formatCode>0.0</c:formatCode>
                <c:ptCount val="12"/>
                <c:pt idx="0">
                  <c:v>115.19777499999999</c:v>
                </c:pt>
                <c:pt idx="1">
                  <c:v>143.99721875</c:v>
                </c:pt>
                <c:pt idx="2">
                  <c:v>164.56825000000001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3B-4AEB-9BBD-E65DBCE0C86D}"/>
            </c:ext>
          </c:extLst>
        </c:ser>
        <c:ser>
          <c:idx val="5"/>
          <c:order val="5"/>
          <c:tx>
            <c:v>X Mech 3,  Entry AP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Visualization!$B$122:$M$122</c:f>
              <c:numCache>
                <c:formatCode>0.0</c:formatCode>
                <c:ptCount val="12"/>
                <c:pt idx="0">
                  <c:v>115.19777499999999</c:v>
                </c:pt>
                <c:pt idx="1">
                  <c:v>143.99721875</c:v>
                </c:pt>
                <c:pt idx="2">
                  <c:v>164.56825000000001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3B-4AEB-9BBD-E65DBCE0C86D}"/>
            </c:ext>
          </c:extLst>
        </c:ser>
        <c:ser>
          <c:idx val="6"/>
          <c:order val="6"/>
          <c:tx>
            <c:v>X Mech 4,  Entry AP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Visualization!$B$123:$M$123</c:f>
              <c:numCache>
                <c:formatCode>0.0</c:formatCode>
                <c:ptCount val="12"/>
                <c:pt idx="0">
                  <c:v>98.740949999999998</c:v>
                </c:pt>
                <c:pt idx="1">
                  <c:v>115.19777499999999</c:v>
                </c:pt>
                <c:pt idx="2">
                  <c:v>143.99721875</c:v>
                </c:pt>
                <c:pt idx="3">
                  <c:v>164.56825000000001</c:v>
                </c:pt>
                <c:pt idx="4">
                  <c:v>164.56825000000001</c:v>
                </c:pt>
                <c:pt idx="5">
                  <c:v>164.56825000000001</c:v>
                </c:pt>
                <c:pt idx="6">
                  <c:v>164.56825000000001</c:v>
                </c:pt>
                <c:pt idx="7">
                  <c:v>164.56825000000001</c:v>
                </c:pt>
                <c:pt idx="8">
                  <c:v>164.56825000000001</c:v>
                </c:pt>
                <c:pt idx="9">
                  <c:v>164.56825000000001</c:v>
                </c:pt>
                <c:pt idx="10">
                  <c:v>164.56825000000001</c:v>
                </c:pt>
                <c:pt idx="11">
                  <c:v>164.56825000000001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3B-4AEB-9BBD-E65DBCE0C86D}"/>
            </c:ext>
          </c:extLst>
        </c:ser>
        <c:ser>
          <c:idx val="7"/>
          <c:order val="7"/>
          <c:tx>
            <c:v>Detailer and line support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Visualization!$B$116:$M$116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Visualization!$B$124:$M$124</c:f>
              <c:numCache>
                <c:formatCode>0.0</c:formatCode>
                <c:ptCount val="12"/>
                <c:pt idx="0">
                  <c:v>49.370474999999999</c:v>
                </c:pt>
                <c:pt idx="1">
                  <c:v>49.370474999999999</c:v>
                </c:pt>
                <c:pt idx="2">
                  <c:v>49.370474999999999</c:v>
                </c:pt>
                <c:pt idx="3">
                  <c:v>49.370474999999999</c:v>
                </c:pt>
                <c:pt idx="4">
                  <c:v>49.370474999999999</c:v>
                </c:pt>
                <c:pt idx="5">
                  <c:v>49.370474999999999</c:v>
                </c:pt>
                <c:pt idx="6">
                  <c:v>49.370474999999999</c:v>
                </c:pt>
                <c:pt idx="7">
                  <c:v>49.370474999999999</c:v>
                </c:pt>
                <c:pt idx="8">
                  <c:v>49.370474999999999</c:v>
                </c:pt>
                <c:pt idx="9">
                  <c:v>49.370474999999999</c:v>
                </c:pt>
                <c:pt idx="10">
                  <c:v>49.370474999999999</c:v>
                </c:pt>
                <c:pt idx="11">
                  <c:v>49.370474999999999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3B-4AEB-9BBD-E65DBCE0C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038512"/>
        <c:axId val="1620335169"/>
      </c:lineChart>
      <c:catAx>
        <c:axId val="175203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0335169"/>
        <c:crosses val="autoZero"/>
        <c:auto val="1"/>
        <c:lblAlgn val="ctr"/>
        <c:lblOffset val="100"/>
        <c:noMultiLvlLbl val="1"/>
      </c:catAx>
      <c:valAx>
        <c:axId val="1620335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203851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Number of actual technicians Elevate</a:t>
            </a:r>
          </a:p>
        </c:rich>
      </c:tx>
      <c:layout>
        <c:manualLayout>
          <c:xMode val="edge"/>
          <c:yMode val="edge"/>
          <c:x val="0.29588140822715381"/>
          <c:y val="2.0263424518743668E-2"/>
        </c:manualLayout>
      </c:layout>
      <c:overlay val="0"/>
    </c:title>
    <c:autoTitleDeleted val="0"/>
    <c:plotArea>
      <c:layout>
        <c:manualLayout>
          <c:xMode val="edge"/>
          <c:yMode val="edge"/>
          <c:x val="8.6835414132754113E-2"/>
          <c:y val="0.13188259109311742"/>
          <c:w val="0.89058926243232361"/>
          <c:h val="0.64787980702817005"/>
        </c:manualLayout>
      </c:layout>
      <c:lineChart>
        <c:grouping val="standard"/>
        <c:varyColors val="1"/>
        <c:ser>
          <c:idx val="0"/>
          <c:order val="0"/>
          <c:tx>
            <c:v>Effective Techs</c:v>
          </c:tx>
          <c:spPr>
            <a:ln cmpd="sng">
              <a:solidFill>
                <a:srgbClr val="00B050"/>
              </a:solidFill>
            </a:ln>
          </c:spPr>
          <c:marker>
            <c:symbol val="circle"/>
            <c:size val="6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Visualization!$B$155:$AK$155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Visualization!$B$156:$AK$156</c:f>
              <c:numCache>
                <c:formatCode>0.0</c:formatCode>
                <c:ptCount val="36"/>
                <c:pt idx="0">
                  <c:v>20.8</c:v>
                </c:pt>
                <c:pt idx="1">
                  <c:v>20.8</c:v>
                </c:pt>
                <c:pt idx="2">
                  <c:v>20.8</c:v>
                </c:pt>
                <c:pt idx="3">
                  <c:v>20.8</c:v>
                </c:pt>
                <c:pt idx="4">
                  <c:v>20.8</c:v>
                </c:pt>
                <c:pt idx="5">
                  <c:v>20.8</c:v>
                </c:pt>
                <c:pt idx="6">
                  <c:v>20.8</c:v>
                </c:pt>
                <c:pt idx="7">
                  <c:v>20.8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20.8</c:v>
                </c:pt>
                <c:pt idx="12">
                  <c:v>24</c:v>
                </c:pt>
                <c:pt idx="13">
                  <c:v>28.8</c:v>
                </c:pt>
                <c:pt idx="14">
                  <c:v>28.8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28.8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2-4BB8-969F-97A0C564C87F}"/>
            </c:ext>
          </c:extLst>
        </c:ser>
        <c:ser>
          <c:idx val="1"/>
          <c:order val="1"/>
          <c:tx>
            <c:v>BDU Actual Techs</c:v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6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Visualization!$B$155:$AK$155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Visualization!$B$157:$AK$157</c:f>
              <c:numCache>
                <c:formatCode>0.00</c:formatCode>
                <c:ptCount val="36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30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2-4BB8-969F-97A0C564C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29801"/>
        <c:axId val="644479160"/>
      </c:lineChart>
      <c:catAx>
        <c:axId val="357129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4479160"/>
        <c:crosses val="autoZero"/>
        <c:auto val="1"/>
        <c:lblAlgn val="ctr"/>
        <c:lblOffset val="100"/>
        <c:noMultiLvlLbl val="1"/>
      </c:catAx>
      <c:valAx>
        <c:axId val="644479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Technicians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71298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+mn-lt"/>
              </a:defRPr>
            </a:pPr>
            <a:r>
              <a:rPr lang="en-US" sz="2000" b="0" i="0">
                <a:solidFill>
                  <a:srgbClr val="757575"/>
                </a:solidFill>
                <a:latin typeface="+mn-lt"/>
              </a:rPr>
              <a:t>Income and expense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3723588896383302E-2"/>
          <c:y val="8.4247586598523577E-2"/>
          <c:w val="0.89885472742820915"/>
          <c:h val="0.81109963469217117"/>
        </c:manualLayout>
      </c:layout>
      <c:lineChart>
        <c:grouping val="standard"/>
        <c:varyColors val="1"/>
        <c:ser>
          <c:idx val="0"/>
          <c:order val="0"/>
          <c:tx>
            <c:v>Total costs</c:v>
          </c:tx>
          <c:spPr>
            <a:ln w="9525" cmpd="sng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dLbls>
            <c:numFmt formatCode="#,##0.0,\ 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Visualization!$B$166:$AL$166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Visualization!$B$167:$AL$167</c:f>
              <c:numCache>
                <c:formatCode>_("$"* #,##0.00_);_("$"* \(#,##0.00\);_("$"* "-"??_);_(@_)</c:formatCode>
                <c:ptCount val="37"/>
                <c:pt idx="0">
                  <c:v>246486.24</c:v>
                </c:pt>
                <c:pt idx="1">
                  <c:v>234748.79999999999</c:v>
                </c:pt>
                <c:pt idx="2">
                  <c:v>269961.12</c:v>
                </c:pt>
                <c:pt idx="3">
                  <c:v>234748.79999999999</c:v>
                </c:pt>
                <c:pt idx="4">
                  <c:v>258223.68</c:v>
                </c:pt>
                <c:pt idx="5">
                  <c:v>258223.68</c:v>
                </c:pt>
                <c:pt idx="6">
                  <c:v>234748.79999999999</c:v>
                </c:pt>
                <c:pt idx="7">
                  <c:v>269961.12</c:v>
                </c:pt>
                <c:pt idx="8">
                  <c:v>234748.79999999999</c:v>
                </c:pt>
                <c:pt idx="9">
                  <c:v>258223.68</c:v>
                </c:pt>
                <c:pt idx="10">
                  <c:v>234748.79999999999</c:v>
                </c:pt>
                <c:pt idx="11">
                  <c:v>187799.04000000001</c:v>
                </c:pt>
                <c:pt idx="12">
                  <c:v>284407.2</c:v>
                </c:pt>
                <c:pt idx="13">
                  <c:v>325036.79999999999</c:v>
                </c:pt>
                <c:pt idx="14">
                  <c:v>373792.32</c:v>
                </c:pt>
                <c:pt idx="15">
                  <c:v>325036.79999999999</c:v>
                </c:pt>
                <c:pt idx="16">
                  <c:v>357540.48</c:v>
                </c:pt>
                <c:pt idx="17">
                  <c:v>357540.48</c:v>
                </c:pt>
                <c:pt idx="18">
                  <c:v>325036.79999999999</c:v>
                </c:pt>
                <c:pt idx="19">
                  <c:v>311493.59999999998</c:v>
                </c:pt>
                <c:pt idx="20">
                  <c:v>270864</c:v>
                </c:pt>
                <c:pt idx="21">
                  <c:v>297950.40000000002</c:v>
                </c:pt>
                <c:pt idx="22">
                  <c:v>270864</c:v>
                </c:pt>
                <c:pt idx="23">
                  <c:v>216691.20000000001</c:v>
                </c:pt>
                <c:pt idx="24">
                  <c:v>284407.2</c:v>
                </c:pt>
                <c:pt idx="25">
                  <c:v>270864</c:v>
                </c:pt>
                <c:pt idx="26">
                  <c:v>311493.59999999998</c:v>
                </c:pt>
                <c:pt idx="27">
                  <c:v>270864</c:v>
                </c:pt>
                <c:pt idx="28">
                  <c:v>297950.40000000002</c:v>
                </c:pt>
                <c:pt idx="29">
                  <c:v>297950.40000000002</c:v>
                </c:pt>
                <c:pt idx="30">
                  <c:v>270864</c:v>
                </c:pt>
                <c:pt idx="31">
                  <c:v>311493.59999999998</c:v>
                </c:pt>
                <c:pt idx="32">
                  <c:v>270864</c:v>
                </c:pt>
                <c:pt idx="33">
                  <c:v>297950.40000000002</c:v>
                </c:pt>
                <c:pt idx="34">
                  <c:v>270864</c:v>
                </c:pt>
                <c:pt idx="35">
                  <c:v>216691.20000000001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B-4638-9375-0490F46A78C5}"/>
            </c:ext>
          </c:extLst>
        </c:ser>
        <c:ser>
          <c:idx val="1"/>
          <c:order val="1"/>
          <c:tx>
            <c:v>Total income</c:v>
          </c:tx>
          <c:spPr>
            <a:ln w="952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#,##0.0,\ 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Visualization!$B$166:$AL$166</c:f>
              <c:strCache>
                <c:ptCount val="3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Visualization!$B$168:$AL$168</c:f>
              <c:numCache>
                <c:formatCode>_("$"* #,##0.00_);_("$"* \(#,##0.00\);_("$"* "-"??_);_(@_)</c:formatCode>
                <c:ptCount val="37"/>
                <c:pt idx="0">
                  <c:v>60613.760000000009</c:v>
                </c:pt>
                <c:pt idx="1">
                  <c:v>75901.200000000012</c:v>
                </c:pt>
                <c:pt idx="2">
                  <c:v>44238.880000000005</c:v>
                </c:pt>
                <c:pt idx="3">
                  <c:v>83001.200000000012</c:v>
                </c:pt>
                <c:pt idx="4">
                  <c:v>59526.320000000007</c:v>
                </c:pt>
                <c:pt idx="5">
                  <c:v>59526.320000000007</c:v>
                </c:pt>
                <c:pt idx="6">
                  <c:v>86551.200000000012</c:v>
                </c:pt>
                <c:pt idx="7">
                  <c:v>51338.880000000005</c:v>
                </c:pt>
                <c:pt idx="8">
                  <c:v>90101.200000000012</c:v>
                </c:pt>
                <c:pt idx="9">
                  <c:v>66626.320000000007</c:v>
                </c:pt>
                <c:pt idx="10">
                  <c:v>90101.200000000012</c:v>
                </c:pt>
                <c:pt idx="11">
                  <c:v>137050.96</c:v>
                </c:pt>
                <c:pt idx="12">
                  <c:v>40442.799999999988</c:v>
                </c:pt>
                <c:pt idx="13">
                  <c:v>-186.79999999998836</c:v>
                </c:pt>
                <c:pt idx="14">
                  <c:v>-48942.320000000007</c:v>
                </c:pt>
                <c:pt idx="15">
                  <c:v>-186.79999999998836</c:v>
                </c:pt>
                <c:pt idx="16">
                  <c:v>-32690.479999999981</c:v>
                </c:pt>
                <c:pt idx="17">
                  <c:v>-332690.48</c:v>
                </c:pt>
                <c:pt idx="18">
                  <c:v>-186.79999999998836</c:v>
                </c:pt>
                <c:pt idx="19">
                  <c:v>13356.400000000023</c:v>
                </c:pt>
                <c:pt idx="20">
                  <c:v>53986</c:v>
                </c:pt>
                <c:pt idx="21">
                  <c:v>26899.599999999977</c:v>
                </c:pt>
                <c:pt idx="22">
                  <c:v>53986</c:v>
                </c:pt>
                <c:pt idx="23">
                  <c:v>-191841.2</c:v>
                </c:pt>
                <c:pt idx="24">
                  <c:v>40442.799999999988</c:v>
                </c:pt>
                <c:pt idx="25">
                  <c:v>53986</c:v>
                </c:pt>
                <c:pt idx="26">
                  <c:v>13356.400000000023</c:v>
                </c:pt>
                <c:pt idx="27">
                  <c:v>53986</c:v>
                </c:pt>
                <c:pt idx="28">
                  <c:v>26899.599999999977</c:v>
                </c:pt>
                <c:pt idx="29">
                  <c:v>26899.599999999977</c:v>
                </c:pt>
                <c:pt idx="30">
                  <c:v>53986</c:v>
                </c:pt>
                <c:pt idx="31">
                  <c:v>13356.400000000023</c:v>
                </c:pt>
                <c:pt idx="32">
                  <c:v>53986</c:v>
                </c:pt>
                <c:pt idx="33">
                  <c:v>26899.599999999977</c:v>
                </c:pt>
                <c:pt idx="34">
                  <c:v>53986</c:v>
                </c:pt>
                <c:pt idx="35">
                  <c:v>108158.79999999999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B-4638-9375-0490F46A7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34525"/>
        <c:axId val="1261518681"/>
      </c:lineChart>
      <c:catAx>
        <c:axId val="562134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1518681"/>
        <c:crosses val="autoZero"/>
        <c:auto val="1"/>
        <c:lblAlgn val="ctr"/>
        <c:lblOffset val="100"/>
        <c:noMultiLvlLbl val="1"/>
      </c:catAx>
      <c:valAx>
        <c:axId val="126151868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2134525"/>
        <c:crosses val="autoZero"/>
        <c:crossBetween val="between"/>
        <c:majorUnit val="10000"/>
        <c:minorUnit val="50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Total cash flow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3723588896383302E-2"/>
          <c:y val="8.4247586598523577E-2"/>
          <c:w val="0.89885472742820915"/>
          <c:h val="0.81109963469217117"/>
        </c:manualLayout>
      </c:layout>
      <c:barChart>
        <c:barDir val="col"/>
        <c:grouping val="clustered"/>
        <c:varyColors val="1"/>
        <c:ser>
          <c:idx val="0"/>
          <c:order val="0"/>
          <c:tx>
            <c:v>Total cash flow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,\ 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Linear (Total cash flow)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Visualization!$B$169:$AK$169</c:f>
              <c:numCache>
                <c:formatCode>_("$"* #,##0.00_);_("$"* \(#,##0.00\);_("$"* "-"??_);_(@_)</c:formatCode>
                <c:ptCount val="36"/>
                <c:pt idx="0">
                  <c:v>60613.760000000009</c:v>
                </c:pt>
                <c:pt idx="1">
                  <c:v>75901.200000000012</c:v>
                </c:pt>
                <c:pt idx="2">
                  <c:v>44238.880000000005</c:v>
                </c:pt>
                <c:pt idx="3">
                  <c:v>83001.200000000012</c:v>
                </c:pt>
                <c:pt idx="4">
                  <c:v>59526.320000000007</c:v>
                </c:pt>
                <c:pt idx="5">
                  <c:v>59526.320000000007</c:v>
                </c:pt>
                <c:pt idx="6">
                  <c:v>86551.200000000012</c:v>
                </c:pt>
                <c:pt idx="7">
                  <c:v>51338.880000000005</c:v>
                </c:pt>
                <c:pt idx="8">
                  <c:v>90101.200000000012</c:v>
                </c:pt>
                <c:pt idx="9">
                  <c:v>66626.320000000007</c:v>
                </c:pt>
                <c:pt idx="10">
                  <c:v>90101.200000000012</c:v>
                </c:pt>
                <c:pt idx="11">
                  <c:v>137050.96</c:v>
                </c:pt>
                <c:pt idx="12">
                  <c:v>40442.799999999988</c:v>
                </c:pt>
                <c:pt idx="13">
                  <c:v>-186.79999999998836</c:v>
                </c:pt>
                <c:pt idx="14">
                  <c:v>-48942.320000000007</c:v>
                </c:pt>
                <c:pt idx="15">
                  <c:v>-186.79999999998836</c:v>
                </c:pt>
                <c:pt idx="16">
                  <c:v>-32690.479999999981</c:v>
                </c:pt>
                <c:pt idx="17">
                  <c:v>-332690.48</c:v>
                </c:pt>
                <c:pt idx="18">
                  <c:v>-186.79999999998836</c:v>
                </c:pt>
                <c:pt idx="19">
                  <c:v>13356.400000000023</c:v>
                </c:pt>
                <c:pt idx="20">
                  <c:v>53986</c:v>
                </c:pt>
                <c:pt idx="21">
                  <c:v>26899.599999999977</c:v>
                </c:pt>
                <c:pt idx="22">
                  <c:v>53986</c:v>
                </c:pt>
                <c:pt idx="23">
                  <c:v>-191841.2</c:v>
                </c:pt>
                <c:pt idx="24">
                  <c:v>40442.799999999988</c:v>
                </c:pt>
                <c:pt idx="25">
                  <c:v>53986</c:v>
                </c:pt>
                <c:pt idx="26">
                  <c:v>13356.400000000023</c:v>
                </c:pt>
                <c:pt idx="27">
                  <c:v>53986</c:v>
                </c:pt>
                <c:pt idx="28">
                  <c:v>26899.599999999977</c:v>
                </c:pt>
                <c:pt idx="29">
                  <c:v>26899.599999999977</c:v>
                </c:pt>
                <c:pt idx="30">
                  <c:v>53986</c:v>
                </c:pt>
                <c:pt idx="31">
                  <c:v>13356.400000000023</c:v>
                </c:pt>
                <c:pt idx="32">
                  <c:v>53986</c:v>
                </c:pt>
                <c:pt idx="33">
                  <c:v>26899.599999999977</c:v>
                </c:pt>
                <c:pt idx="34">
                  <c:v>53986</c:v>
                </c:pt>
                <c:pt idx="35">
                  <c:v>108158.79999999999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FB-47A2-A906-8B5A6824C607}"/>
            </c:ext>
          </c:extLst>
        </c:ser>
        <c:ser>
          <c:idx val="1"/>
          <c:order val="1"/>
          <c:tx>
            <c:v>Percentage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Visualization!$B$170:$AK$170</c:f>
              <c:numCache>
                <c:formatCode>0%</c:formatCode>
                <c:ptCount val="36"/>
                <c:pt idx="0">
                  <c:v>-0.75408866636936811</c:v>
                </c:pt>
                <c:pt idx="1">
                  <c:v>-0.67667055167055157</c:v>
                </c:pt>
                <c:pt idx="2">
                  <c:v>-0.8361286988289276</c:v>
                </c:pt>
                <c:pt idx="3">
                  <c:v>-0.64642545563598186</c:v>
                </c:pt>
                <c:pt idx="4">
                  <c:v>-0.76947768694180174</c:v>
                </c:pt>
                <c:pt idx="5">
                  <c:v>-0.76947768694180174</c:v>
                </c:pt>
                <c:pt idx="6">
                  <c:v>-0.63130290761869701</c:v>
                </c:pt>
                <c:pt idx="7">
                  <c:v>-0.80982861532060613</c:v>
                </c:pt>
                <c:pt idx="8">
                  <c:v>-0.61618035960141215</c:v>
                </c:pt>
                <c:pt idx="9">
                  <c:v>-0.74198214509219285</c:v>
                </c:pt>
                <c:pt idx="10">
                  <c:v>-0.61618035960141215</c:v>
                </c:pt>
                <c:pt idx="11">
                  <c:v>-0.27022544950176541</c:v>
                </c:pt>
                <c:pt idx="12">
                  <c:v>-0.8577996618932292</c:v>
                </c:pt>
                <c:pt idx="13">
                  <c:v>-1.0005747041565756</c:v>
                </c:pt>
                <c:pt idx="14">
                  <c:v>-1.1309345253535439</c:v>
                </c:pt>
                <c:pt idx="15">
                  <c:v>-1.0005747041565756</c:v>
                </c:pt>
                <c:pt idx="16">
                  <c:v>-1.0914315492332505</c:v>
                </c:pt>
                <c:pt idx="17">
                  <c:v>-1.9304973803245997</c:v>
                </c:pt>
                <c:pt idx="18">
                  <c:v>-1.0005747041565756</c:v>
                </c:pt>
                <c:pt idx="19">
                  <c:v>-0.95712143042425257</c:v>
                </c:pt>
                <c:pt idx="20">
                  <c:v>-0.80068964498789064</c:v>
                </c:pt>
                <c:pt idx="21">
                  <c:v>-0.90971785907990066</c:v>
                </c:pt>
                <c:pt idx="22">
                  <c:v>-0.80068964498789064</c:v>
                </c:pt>
                <c:pt idx="23">
                  <c:v>-1.88532067753559</c:v>
                </c:pt>
                <c:pt idx="24">
                  <c:v>-0.8577996618932292</c:v>
                </c:pt>
                <c:pt idx="25">
                  <c:v>-0.80068964498789064</c:v>
                </c:pt>
                <c:pt idx="26">
                  <c:v>-0.95712143042425257</c:v>
                </c:pt>
                <c:pt idx="27">
                  <c:v>-0.80068964498789064</c:v>
                </c:pt>
                <c:pt idx="28">
                  <c:v>-0.90971785907990066</c:v>
                </c:pt>
                <c:pt idx="29">
                  <c:v>-0.90971785907990066</c:v>
                </c:pt>
                <c:pt idx="30">
                  <c:v>-0.80068964498789064</c:v>
                </c:pt>
                <c:pt idx="31">
                  <c:v>-0.95712143042425257</c:v>
                </c:pt>
                <c:pt idx="32">
                  <c:v>-0.80068964498789064</c:v>
                </c:pt>
                <c:pt idx="33">
                  <c:v>-0.90971785907990066</c:v>
                </c:pt>
                <c:pt idx="34">
                  <c:v>-0.80068964498789064</c:v>
                </c:pt>
                <c:pt idx="35">
                  <c:v>-0.50086205623486335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FB-47A2-A906-8B5A6824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520547"/>
        <c:axId val="1622010000"/>
      </c:barChart>
      <c:catAx>
        <c:axId val="1863520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2010000"/>
        <c:crosses val="autoZero"/>
        <c:auto val="1"/>
        <c:lblAlgn val="ctr"/>
        <c:lblOffset val="100"/>
        <c:noMultiLvlLbl val="1"/>
      </c:catAx>
      <c:valAx>
        <c:axId val="1622010000"/>
        <c:scaling>
          <c:orientation val="minMax"/>
          <c:max val="15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35205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47625</xdr:rowOff>
    </xdr:from>
    <xdr:ext cx="15097125" cy="58578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171450</xdr:colOff>
      <xdr:row>114</xdr:row>
      <xdr:rowOff>133350</xdr:rowOff>
    </xdr:from>
    <xdr:ext cx="7772400" cy="53625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47625</xdr:colOff>
      <xdr:row>93</xdr:row>
      <xdr:rowOff>114300</xdr:rowOff>
    </xdr:from>
    <xdr:ext cx="15335250" cy="39528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1266825</xdr:colOff>
      <xdr:row>31</xdr:row>
      <xdr:rowOff>19050</xdr:rowOff>
    </xdr:from>
    <xdr:ext cx="15401925" cy="58674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15392400" cy="58578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AN23">
  <tableColumns count="40">
    <tableColumn id="1" xr3:uid="{00000000-0010-0000-0000-000001000000}" name="Column1"/>
    <tableColumn id="2" xr3:uid="{00000000-0010-0000-0000-000002000000}" name="Billing growth class"/>
    <tableColumn id="3" xr3:uid="{00000000-0010-0000-0000-000003000000}" name="Column2"/>
    <tableColumn id="4" xr3:uid="{00000000-0010-0000-0000-000004000000}" name="Column3"/>
    <tableColumn id="5" xr3:uid="{00000000-0010-0000-0000-000005000000}" name="Column4"/>
    <tableColumn id="6" xr3:uid="{00000000-0010-0000-0000-000006000000}" name="Column5"/>
    <tableColumn id="7" xr3:uid="{00000000-0010-0000-0000-000007000000}" name="Column6"/>
    <tableColumn id="8" xr3:uid="{00000000-0010-0000-0000-000008000000}" name="Column7"/>
    <tableColumn id="9" xr3:uid="{00000000-0010-0000-0000-000009000000}" name="Column8"/>
    <tableColumn id="10" xr3:uid="{00000000-0010-0000-0000-00000A000000}" name="Column9"/>
    <tableColumn id="11" xr3:uid="{00000000-0010-0000-0000-00000B000000}" name="Column10"/>
    <tableColumn id="12" xr3:uid="{00000000-0010-0000-0000-00000C000000}" name="Column11"/>
    <tableColumn id="13" xr3:uid="{00000000-0010-0000-0000-00000D000000}" name="Column12"/>
    <tableColumn id="14" xr3:uid="{00000000-0010-0000-0000-00000E000000}" name="Column13"/>
    <tableColumn id="15" xr3:uid="{00000000-0010-0000-0000-00000F000000}" name="Column14"/>
    <tableColumn id="16" xr3:uid="{00000000-0010-0000-0000-000010000000}" name="Column15"/>
    <tableColumn id="17" xr3:uid="{00000000-0010-0000-0000-000011000000}" name="Column16"/>
    <tableColumn id="18" xr3:uid="{00000000-0010-0000-0000-000012000000}" name="Column17"/>
    <tableColumn id="19" xr3:uid="{00000000-0010-0000-0000-000013000000}" name="Column18"/>
    <tableColumn id="20" xr3:uid="{00000000-0010-0000-0000-000014000000}" name="Column19"/>
    <tableColumn id="21" xr3:uid="{00000000-0010-0000-0000-000015000000}" name="Column20"/>
    <tableColumn id="22" xr3:uid="{00000000-0010-0000-0000-000016000000}" name="Column21"/>
    <tableColumn id="23" xr3:uid="{00000000-0010-0000-0000-000017000000}" name="Column22"/>
    <tableColumn id="24" xr3:uid="{00000000-0010-0000-0000-000018000000}" name="Column23"/>
    <tableColumn id="25" xr3:uid="{00000000-0010-0000-0000-000019000000}" name="Column24"/>
    <tableColumn id="26" xr3:uid="{00000000-0010-0000-0000-00001A000000}" name="Column25"/>
    <tableColumn id="27" xr3:uid="{00000000-0010-0000-0000-00001B000000}" name="Column26"/>
    <tableColumn id="28" xr3:uid="{00000000-0010-0000-0000-00001C000000}" name="Column27"/>
    <tableColumn id="29" xr3:uid="{00000000-0010-0000-0000-00001D000000}" name="Column28"/>
    <tableColumn id="30" xr3:uid="{00000000-0010-0000-0000-00001E000000}" name="Column29"/>
    <tableColumn id="31" xr3:uid="{00000000-0010-0000-0000-00001F000000}" name="Column30"/>
    <tableColumn id="32" xr3:uid="{00000000-0010-0000-0000-000020000000}" name="Column31"/>
    <tableColumn id="33" xr3:uid="{00000000-0010-0000-0000-000021000000}" name="Column32"/>
    <tableColumn id="34" xr3:uid="{00000000-0010-0000-0000-000022000000}" name="Column33"/>
    <tableColumn id="35" xr3:uid="{00000000-0010-0000-0000-000023000000}" name="Column34"/>
    <tableColumn id="36" xr3:uid="{00000000-0010-0000-0000-000024000000}" name="Column35"/>
    <tableColumn id="37" xr3:uid="{00000000-0010-0000-0000-000025000000}" name="Column36"/>
    <tableColumn id="38" xr3:uid="{00000000-0010-0000-0000-000026000000}" name="Column37"/>
    <tableColumn id="39" xr3:uid="{00000000-0010-0000-0000-000027000000}" name="Column38"/>
    <tableColumn id="40" xr3:uid="{00000000-0010-0000-0000-000028000000}" name="Column39"/>
  </tableColumns>
  <tableStyleInfo name="Work Histo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P99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7" sqref="J7"/>
    </sheetView>
  </sheetViews>
  <sheetFormatPr defaultColWidth="14.42578125" defaultRowHeight="15" customHeight="1"/>
  <cols>
    <col min="1" max="1" width="30.140625" customWidth="1"/>
    <col min="2" max="2" width="12" customWidth="1"/>
    <col min="3" max="3" width="13.7109375" customWidth="1"/>
    <col min="4" max="28" width="15.140625" customWidth="1"/>
    <col min="29" max="29" width="16.28515625" customWidth="1"/>
    <col min="30" max="42" width="15.140625" customWidth="1"/>
  </cols>
  <sheetData>
    <row r="1" spans="1:42" ht="15" customHeight="1">
      <c r="A1" s="336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2" t="s">
        <v>1</v>
      </c>
    </row>
    <row r="2" spans="1:42" ht="15" customHeight="1">
      <c r="A2" s="1" t="s">
        <v>2</v>
      </c>
      <c r="B2" s="1"/>
      <c r="C2" s="1"/>
      <c r="D2" s="3">
        <v>26</v>
      </c>
      <c r="E2" s="3">
        <v>26</v>
      </c>
      <c r="F2" s="3">
        <v>26</v>
      </c>
      <c r="G2" s="3">
        <v>26</v>
      </c>
      <c r="H2" s="3">
        <v>26</v>
      </c>
      <c r="I2" s="3">
        <v>26</v>
      </c>
      <c r="J2" s="3">
        <v>26</v>
      </c>
      <c r="K2" s="3">
        <v>26</v>
      </c>
      <c r="L2" s="3">
        <v>26</v>
      </c>
      <c r="M2" s="3">
        <v>26</v>
      </c>
      <c r="N2" s="3">
        <v>26</v>
      </c>
      <c r="O2" s="3">
        <v>26</v>
      </c>
      <c r="P2" s="4">
        <f>AVERAGE(D2:O2)</f>
        <v>26</v>
      </c>
      <c r="Q2" s="3">
        <v>30</v>
      </c>
      <c r="R2" s="3">
        <v>36</v>
      </c>
      <c r="S2" s="3">
        <v>36</v>
      </c>
      <c r="T2" s="3">
        <v>36</v>
      </c>
      <c r="U2" s="3">
        <v>36</v>
      </c>
      <c r="V2" s="3">
        <v>36</v>
      </c>
      <c r="W2" s="3">
        <v>36</v>
      </c>
      <c r="X2" s="3">
        <v>30</v>
      </c>
      <c r="Y2" s="3">
        <v>30</v>
      </c>
      <c r="Z2" s="3">
        <v>30</v>
      </c>
      <c r="AA2" s="3">
        <v>30</v>
      </c>
      <c r="AB2" s="3">
        <v>30</v>
      </c>
      <c r="AC2" s="4">
        <f>AVERAGE(Q2:AB2)</f>
        <v>33</v>
      </c>
      <c r="AD2" s="3">
        <v>30</v>
      </c>
      <c r="AE2" s="3">
        <v>30</v>
      </c>
      <c r="AF2" s="3">
        <v>30</v>
      </c>
      <c r="AG2" s="3">
        <v>30</v>
      </c>
      <c r="AH2" s="3">
        <v>30</v>
      </c>
      <c r="AI2" s="3">
        <v>30</v>
      </c>
      <c r="AJ2" s="3">
        <v>30</v>
      </c>
      <c r="AK2" s="3">
        <v>30</v>
      </c>
      <c r="AL2" s="3">
        <v>30</v>
      </c>
      <c r="AM2" s="3">
        <v>30</v>
      </c>
      <c r="AN2" s="3">
        <v>30</v>
      </c>
      <c r="AO2" s="3">
        <v>30</v>
      </c>
      <c r="AP2" s="5">
        <f>AVERAGE(AD2:AO2)</f>
        <v>30</v>
      </c>
    </row>
    <row r="3" spans="1:42" ht="18" customHeight="1">
      <c r="A3" s="6" t="s">
        <v>3</v>
      </c>
      <c r="B3" s="6"/>
      <c r="C3" s="6"/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7" t="s">
        <v>16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2" t="s">
        <v>14</v>
      </c>
      <c r="AB3" s="2" t="s">
        <v>15</v>
      </c>
      <c r="AC3" s="7" t="s">
        <v>17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N3" s="2" t="s">
        <v>14</v>
      </c>
      <c r="AO3" s="2" t="s">
        <v>15</v>
      </c>
      <c r="AP3" s="7" t="s">
        <v>18</v>
      </c>
    </row>
    <row r="4" spans="1:42">
      <c r="A4" s="8" t="s">
        <v>19</v>
      </c>
      <c r="B4" s="9"/>
      <c r="C4" s="10"/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2">
        <f t="shared" ref="P4:P12" si="0">SUM(D4:O4)</f>
        <v>12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/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/>
      <c r="AC4" s="12">
        <f t="shared" ref="AC4:AC12" si="1">SUM(Q4:AB4)</f>
        <v>10</v>
      </c>
      <c r="AD4" s="11">
        <v>1</v>
      </c>
      <c r="AE4" s="11">
        <v>1</v>
      </c>
      <c r="AF4" s="11">
        <v>1</v>
      </c>
      <c r="AG4" s="11">
        <v>1</v>
      </c>
      <c r="AH4" s="11">
        <v>1</v>
      </c>
      <c r="AI4" s="11">
        <v>1</v>
      </c>
      <c r="AJ4" s="11">
        <v>1</v>
      </c>
      <c r="AK4" s="11">
        <v>1</v>
      </c>
      <c r="AL4" s="11">
        <v>1</v>
      </c>
      <c r="AM4" s="11">
        <v>1</v>
      </c>
      <c r="AN4" s="11">
        <v>1</v>
      </c>
      <c r="AO4" s="11">
        <v>1</v>
      </c>
      <c r="AP4" s="12">
        <f t="shared" ref="AP4:AP12" si="2">SUM(AD4:AO4)</f>
        <v>12</v>
      </c>
    </row>
    <row r="5" spans="1:42">
      <c r="A5" s="8" t="s">
        <v>20</v>
      </c>
      <c r="B5" s="9"/>
      <c r="C5" s="10"/>
      <c r="D5" s="11">
        <v>24</v>
      </c>
      <c r="E5" s="11">
        <v>36</v>
      </c>
      <c r="F5" s="11">
        <v>48</v>
      </c>
      <c r="G5" s="11">
        <v>60</v>
      </c>
      <c r="H5" s="11">
        <v>60</v>
      </c>
      <c r="I5" s="11">
        <v>60</v>
      </c>
      <c r="J5" s="11">
        <v>72</v>
      </c>
      <c r="K5" s="11">
        <v>72</v>
      </c>
      <c r="L5" s="11">
        <v>84</v>
      </c>
      <c r="M5" s="11">
        <v>84</v>
      </c>
      <c r="N5" s="11">
        <v>84</v>
      </c>
      <c r="O5" s="11">
        <v>84</v>
      </c>
      <c r="P5" s="12">
        <f t="shared" si="0"/>
        <v>768</v>
      </c>
      <c r="Q5" s="11">
        <v>84</v>
      </c>
      <c r="R5" s="11">
        <v>84</v>
      </c>
      <c r="S5" s="11">
        <v>84</v>
      </c>
      <c r="T5" s="11">
        <v>84</v>
      </c>
      <c r="U5" s="11">
        <v>84</v>
      </c>
      <c r="V5" s="11">
        <v>84</v>
      </c>
      <c r="W5" s="11">
        <v>84</v>
      </c>
      <c r="X5" s="11">
        <v>84</v>
      </c>
      <c r="Y5" s="11">
        <v>84</v>
      </c>
      <c r="Z5" s="11">
        <v>84</v>
      </c>
      <c r="AA5" s="11">
        <v>84</v>
      </c>
      <c r="AB5" s="11">
        <v>84</v>
      </c>
      <c r="AC5" s="12">
        <f t="shared" si="1"/>
        <v>1008</v>
      </c>
      <c r="AD5" s="11">
        <v>84</v>
      </c>
      <c r="AE5" s="11">
        <v>84</v>
      </c>
      <c r="AF5" s="11">
        <v>84</v>
      </c>
      <c r="AG5" s="11">
        <v>84</v>
      </c>
      <c r="AH5" s="11">
        <v>84</v>
      </c>
      <c r="AI5" s="11">
        <v>84</v>
      </c>
      <c r="AJ5" s="11">
        <v>84</v>
      </c>
      <c r="AK5" s="11">
        <v>84</v>
      </c>
      <c r="AL5" s="11">
        <v>84</v>
      </c>
      <c r="AM5" s="11">
        <v>84</v>
      </c>
      <c r="AN5" s="11">
        <v>84</v>
      </c>
      <c r="AO5" s="11">
        <v>84</v>
      </c>
      <c r="AP5" s="12">
        <f t="shared" si="2"/>
        <v>1008</v>
      </c>
    </row>
    <row r="6" spans="1:42">
      <c r="A6" s="8" t="s">
        <v>21</v>
      </c>
      <c r="B6" s="9"/>
      <c r="C6" s="10"/>
      <c r="D6" s="11">
        <v>2</v>
      </c>
      <c r="E6" s="11">
        <v>3</v>
      </c>
      <c r="F6" s="11">
        <v>4</v>
      </c>
      <c r="G6" s="11">
        <v>5</v>
      </c>
      <c r="H6" s="11">
        <v>5</v>
      </c>
      <c r="I6" s="11">
        <v>5</v>
      </c>
      <c r="J6" s="11">
        <v>6</v>
      </c>
      <c r="K6" s="11">
        <v>6</v>
      </c>
      <c r="L6" s="11">
        <v>7</v>
      </c>
      <c r="M6" s="11">
        <v>7</v>
      </c>
      <c r="N6" s="11">
        <v>7</v>
      </c>
      <c r="O6" s="13">
        <v>7</v>
      </c>
      <c r="P6" s="12">
        <f t="shared" si="0"/>
        <v>64</v>
      </c>
      <c r="Q6" s="13">
        <v>7</v>
      </c>
      <c r="R6" s="11">
        <v>7</v>
      </c>
      <c r="S6" s="11">
        <v>7</v>
      </c>
      <c r="T6" s="11">
        <v>7</v>
      </c>
      <c r="U6" s="11">
        <v>7</v>
      </c>
      <c r="V6" s="11">
        <v>7</v>
      </c>
      <c r="W6" s="11">
        <v>7</v>
      </c>
      <c r="X6" s="11">
        <v>7</v>
      </c>
      <c r="Y6" s="11">
        <v>7</v>
      </c>
      <c r="Z6" s="11">
        <v>7</v>
      </c>
      <c r="AA6" s="11">
        <v>7</v>
      </c>
      <c r="AB6" s="11">
        <v>7</v>
      </c>
      <c r="AC6" s="12">
        <f t="shared" si="1"/>
        <v>84</v>
      </c>
      <c r="AD6" s="11">
        <v>7</v>
      </c>
      <c r="AE6" s="11">
        <v>7</v>
      </c>
      <c r="AF6" s="11">
        <v>7</v>
      </c>
      <c r="AG6" s="11">
        <v>7</v>
      </c>
      <c r="AH6" s="11">
        <v>7</v>
      </c>
      <c r="AI6" s="11">
        <v>7</v>
      </c>
      <c r="AJ6" s="11">
        <v>7</v>
      </c>
      <c r="AK6" s="11">
        <v>7</v>
      </c>
      <c r="AL6" s="11">
        <v>7</v>
      </c>
      <c r="AM6" s="11">
        <v>7</v>
      </c>
      <c r="AN6" s="11">
        <v>7</v>
      </c>
      <c r="AO6" s="11">
        <v>7</v>
      </c>
      <c r="AP6" s="12">
        <f t="shared" si="2"/>
        <v>84</v>
      </c>
    </row>
    <row r="7" spans="1:42">
      <c r="A7" s="8" t="s">
        <v>22</v>
      </c>
      <c r="B7" s="9"/>
      <c r="C7" s="10"/>
      <c r="D7" s="11">
        <v>2</v>
      </c>
      <c r="E7" s="11">
        <v>3</v>
      </c>
      <c r="F7" s="11">
        <v>4</v>
      </c>
      <c r="G7" s="11">
        <v>5</v>
      </c>
      <c r="H7" s="11">
        <v>5</v>
      </c>
      <c r="I7" s="11">
        <v>5</v>
      </c>
      <c r="J7" s="11">
        <v>6</v>
      </c>
      <c r="K7" s="11">
        <v>6</v>
      </c>
      <c r="L7" s="11">
        <v>7</v>
      </c>
      <c r="M7" s="11">
        <v>7</v>
      </c>
      <c r="N7" s="11">
        <v>7</v>
      </c>
      <c r="O7" s="11">
        <v>7</v>
      </c>
      <c r="P7" s="12">
        <f t="shared" si="0"/>
        <v>64</v>
      </c>
      <c r="Q7" s="11">
        <v>7</v>
      </c>
      <c r="R7" s="11">
        <v>7</v>
      </c>
      <c r="S7" s="11">
        <v>7</v>
      </c>
      <c r="T7" s="11">
        <v>7</v>
      </c>
      <c r="U7" s="11">
        <v>7</v>
      </c>
      <c r="V7" s="11">
        <v>7</v>
      </c>
      <c r="W7" s="11">
        <v>7</v>
      </c>
      <c r="X7" s="11">
        <v>7</v>
      </c>
      <c r="Y7" s="11">
        <v>7</v>
      </c>
      <c r="Z7" s="11">
        <v>7</v>
      </c>
      <c r="AA7" s="11">
        <v>7</v>
      </c>
      <c r="AB7" s="11">
        <v>7</v>
      </c>
      <c r="AC7" s="12">
        <f t="shared" si="1"/>
        <v>84</v>
      </c>
      <c r="AD7" s="11">
        <v>7</v>
      </c>
      <c r="AE7" s="11">
        <v>7</v>
      </c>
      <c r="AF7" s="11">
        <v>7</v>
      </c>
      <c r="AG7" s="11">
        <v>7</v>
      </c>
      <c r="AH7" s="11">
        <v>7</v>
      </c>
      <c r="AI7" s="11">
        <v>7</v>
      </c>
      <c r="AJ7" s="11">
        <v>7</v>
      </c>
      <c r="AK7" s="11">
        <v>7</v>
      </c>
      <c r="AL7" s="11">
        <v>7</v>
      </c>
      <c r="AM7" s="11">
        <v>7</v>
      </c>
      <c r="AN7" s="11">
        <v>7</v>
      </c>
      <c r="AO7" s="11">
        <v>7</v>
      </c>
      <c r="AP7" s="12">
        <f t="shared" si="2"/>
        <v>84</v>
      </c>
    </row>
    <row r="8" spans="1:42">
      <c r="A8" s="8" t="s">
        <v>23</v>
      </c>
      <c r="B8" s="14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>
        <f t="shared" si="0"/>
        <v>0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2">
        <f t="shared" si="1"/>
        <v>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2">
        <f t="shared" si="2"/>
        <v>0</v>
      </c>
    </row>
    <row r="9" spans="1:42">
      <c r="A9" s="8" t="s">
        <v>24</v>
      </c>
      <c r="B9" s="14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>
        <f t="shared" si="0"/>
        <v>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>
        <f t="shared" si="1"/>
        <v>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2">
        <f t="shared" si="2"/>
        <v>0</v>
      </c>
    </row>
    <row r="10" spans="1:42">
      <c r="A10" s="8" t="s">
        <v>25</v>
      </c>
      <c r="B10" s="14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>
        <f t="shared" si="0"/>
        <v>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>
        <f t="shared" si="1"/>
        <v>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2">
        <f t="shared" si="2"/>
        <v>0</v>
      </c>
    </row>
    <row r="11" spans="1:42">
      <c r="A11" s="8" t="s">
        <v>25</v>
      </c>
      <c r="B11" s="14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>
        <f t="shared" si="0"/>
        <v>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>
        <f t="shared" si="1"/>
        <v>0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2">
        <f t="shared" si="2"/>
        <v>0</v>
      </c>
    </row>
    <row r="12" spans="1:42">
      <c r="A12" s="8" t="s">
        <v>25</v>
      </c>
      <c r="B12" s="14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>
        <f t="shared" si="0"/>
        <v>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>
        <f t="shared" si="1"/>
        <v>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2">
        <f t="shared" si="2"/>
        <v>0</v>
      </c>
    </row>
    <row r="13" spans="1:42">
      <c r="A13" s="15"/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8"/>
    </row>
    <row r="14" spans="1:42" ht="9" customHeight="1">
      <c r="A14" s="8" t="s">
        <v>26</v>
      </c>
      <c r="B14" s="19"/>
      <c r="C14" s="20"/>
      <c r="D14" s="21">
        <f t="shared" ref="D14:O14" si="3">SUM(D4:D12)</f>
        <v>29</v>
      </c>
      <c r="E14" s="21">
        <f t="shared" si="3"/>
        <v>43</v>
      </c>
      <c r="F14" s="21">
        <f t="shared" si="3"/>
        <v>57</v>
      </c>
      <c r="G14" s="21">
        <f t="shared" si="3"/>
        <v>71</v>
      </c>
      <c r="H14" s="21">
        <f t="shared" si="3"/>
        <v>71</v>
      </c>
      <c r="I14" s="21">
        <f t="shared" si="3"/>
        <v>71</v>
      </c>
      <c r="J14" s="21">
        <f t="shared" si="3"/>
        <v>85</v>
      </c>
      <c r="K14" s="21">
        <f t="shared" si="3"/>
        <v>85</v>
      </c>
      <c r="L14" s="21">
        <f t="shared" si="3"/>
        <v>99</v>
      </c>
      <c r="M14" s="21">
        <f t="shared" si="3"/>
        <v>99</v>
      </c>
      <c r="N14" s="21">
        <f t="shared" si="3"/>
        <v>99</v>
      </c>
      <c r="O14" s="21">
        <f t="shared" si="3"/>
        <v>99</v>
      </c>
      <c r="P14" s="12">
        <f>SUM(D14:O14)</f>
        <v>908</v>
      </c>
      <c r="Q14" s="21">
        <f t="shared" ref="Q14:AO14" si="4">SUM(Q4:Q12)</f>
        <v>99</v>
      </c>
      <c r="R14" s="21">
        <f t="shared" si="4"/>
        <v>99</v>
      </c>
      <c r="S14" s="21">
        <f t="shared" si="4"/>
        <v>99</v>
      </c>
      <c r="T14" s="21">
        <f t="shared" si="4"/>
        <v>99</v>
      </c>
      <c r="U14" s="21">
        <f t="shared" si="4"/>
        <v>99</v>
      </c>
      <c r="V14" s="21">
        <f t="shared" si="4"/>
        <v>98</v>
      </c>
      <c r="W14" s="21">
        <f t="shared" si="4"/>
        <v>99</v>
      </c>
      <c r="X14" s="21">
        <f t="shared" si="4"/>
        <v>99</v>
      </c>
      <c r="Y14" s="21">
        <f t="shared" si="4"/>
        <v>99</v>
      </c>
      <c r="Z14" s="21">
        <f t="shared" si="4"/>
        <v>99</v>
      </c>
      <c r="AA14" s="21">
        <f t="shared" si="4"/>
        <v>99</v>
      </c>
      <c r="AB14" s="21">
        <f t="shared" si="4"/>
        <v>98</v>
      </c>
      <c r="AC14" s="21">
        <f t="shared" si="4"/>
        <v>1186</v>
      </c>
      <c r="AD14" s="21">
        <f t="shared" si="4"/>
        <v>99</v>
      </c>
      <c r="AE14" s="21">
        <f t="shared" si="4"/>
        <v>99</v>
      </c>
      <c r="AF14" s="21">
        <f t="shared" si="4"/>
        <v>99</v>
      </c>
      <c r="AG14" s="21">
        <f t="shared" si="4"/>
        <v>99</v>
      </c>
      <c r="AH14" s="21">
        <f t="shared" si="4"/>
        <v>99</v>
      </c>
      <c r="AI14" s="21">
        <f t="shared" si="4"/>
        <v>99</v>
      </c>
      <c r="AJ14" s="21">
        <f t="shared" si="4"/>
        <v>99</v>
      </c>
      <c r="AK14" s="21">
        <f t="shared" si="4"/>
        <v>99</v>
      </c>
      <c r="AL14" s="21">
        <f t="shared" si="4"/>
        <v>99</v>
      </c>
      <c r="AM14" s="21">
        <f t="shared" si="4"/>
        <v>99</v>
      </c>
      <c r="AN14" s="21">
        <f t="shared" si="4"/>
        <v>99</v>
      </c>
      <c r="AO14" s="21">
        <f t="shared" si="4"/>
        <v>99</v>
      </c>
      <c r="AP14" s="22">
        <f>SUM(AD14:AO14)</f>
        <v>1188</v>
      </c>
    </row>
    <row r="15" spans="1:42" ht="9" customHeight="1">
      <c r="A15" s="23" t="s">
        <v>27</v>
      </c>
      <c r="B15" s="24">
        <v>2</v>
      </c>
      <c r="C15" s="2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2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27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27"/>
    </row>
    <row r="16" spans="1:42" ht="9" customHeight="1">
      <c r="A16" s="6" t="s">
        <v>28</v>
      </c>
      <c r="B16" s="28"/>
      <c r="C16" s="25"/>
      <c r="D16" s="21">
        <f t="shared" ref="D16:O16" si="5">$B$15-D14</f>
        <v>-27</v>
      </c>
      <c r="E16" s="21">
        <f t="shared" si="5"/>
        <v>-41</v>
      </c>
      <c r="F16" s="21">
        <f t="shared" si="5"/>
        <v>-55</v>
      </c>
      <c r="G16" s="21">
        <f t="shared" si="5"/>
        <v>-69</v>
      </c>
      <c r="H16" s="21">
        <f t="shared" si="5"/>
        <v>-69</v>
      </c>
      <c r="I16" s="21">
        <f t="shared" si="5"/>
        <v>-69</v>
      </c>
      <c r="J16" s="21">
        <f t="shared" si="5"/>
        <v>-83</v>
      </c>
      <c r="K16" s="21">
        <f t="shared" si="5"/>
        <v>-83</v>
      </c>
      <c r="L16" s="21">
        <f t="shared" si="5"/>
        <v>-97</v>
      </c>
      <c r="M16" s="21">
        <f t="shared" si="5"/>
        <v>-97</v>
      </c>
      <c r="N16" s="21">
        <f t="shared" si="5"/>
        <v>-97</v>
      </c>
      <c r="O16" s="21">
        <f t="shared" si="5"/>
        <v>-97</v>
      </c>
      <c r="P16" s="26"/>
      <c r="Q16" s="21">
        <f t="shared" ref="Q16:AB16" si="6">$B$15-Q14</f>
        <v>-97</v>
      </c>
      <c r="R16" s="21">
        <f t="shared" si="6"/>
        <v>-97</v>
      </c>
      <c r="S16" s="21">
        <f t="shared" si="6"/>
        <v>-97</v>
      </c>
      <c r="T16" s="21">
        <f t="shared" si="6"/>
        <v>-97</v>
      </c>
      <c r="U16" s="21">
        <f t="shared" si="6"/>
        <v>-97</v>
      </c>
      <c r="V16" s="21">
        <f t="shared" si="6"/>
        <v>-96</v>
      </c>
      <c r="W16" s="21">
        <f t="shared" si="6"/>
        <v>-97</v>
      </c>
      <c r="X16" s="21">
        <f t="shared" si="6"/>
        <v>-97</v>
      </c>
      <c r="Y16" s="21">
        <f t="shared" si="6"/>
        <v>-97</v>
      </c>
      <c r="Z16" s="21">
        <f t="shared" si="6"/>
        <v>-97</v>
      </c>
      <c r="AA16" s="21">
        <f t="shared" si="6"/>
        <v>-97</v>
      </c>
      <c r="AB16" s="21">
        <f t="shared" si="6"/>
        <v>-96</v>
      </c>
      <c r="AC16" s="27"/>
      <c r="AD16" s="21">
        <f t="shared" ref="AD16:AO16" si="7">$B$15-AD14</f>
        <v>-97</v>
      </c>
      <c r="AE16" s="21">
        <f t="shared" si="7"/>
        <v>-97</v>
      </c>
      <c r="AF16" s="21">
        <f t="shared" si="7"/>
        <v>-97</v>
      </c>
      <c r="AG16" s="21">
        <f t="shared" si="7"/>
        <v>-97</v>
      </c>
      <c r="AH16" s="21">
        <f t="shared" si="7"/>
        <v>-97</v>
      </c>
      <c r="AI16" s="21">
        <f t="shared" si="7"/>
        <v>-97</v>
      </c>
      <c r="AJ16" s="21">
        <f t="shared" si="7"/>
        <v>-97</v>
      </c>
      <c r="AK16" s="21">
        <f t="shared" si="7"/>
        <v>-97</v>
      </c>
      <c r="AL16" s="21">
        <f t="shared" si="7"/>
        <v>-97</v>
      </c>
      <c r="AM16" s="21">
        <f t="shared" si="7"/>
        <v>-97</v>
      </c>
      <c r="AN16" s="21">
        <f t="shared" si="7"/>
        <v>-97</v>
      </c>
      <c r="AO16" s="21">
        <f t="shared" si="7"/>
        <v>-97</v>
      </c>
      <c r="AP16" s="27"/>
    </row>
    <row r="17" spans="1:42" ht="15.75" customHeight="1">
      <c r="A17" s="29"/>
      <c r="B17" s="29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3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3"/>
    </row>
    <row r="18" spans="1:42" ht="15.75" customHeight="1">
      <c r="A18" s="34" t="s">
        <v>29</v>
      </c>
      <c r="B18" s="35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7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7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7"/>
    </row>
    <row r="19" spans="1:42" ht="15.75" customHeight="1">
      <c r="A19" s="8"/>
      <c r="B19" s="38" t="s">
        <v>30</v>
      </c>
      <c r="C19" s="39" t="s">
        <v>31</v>
      </c>
      <c r="D19" s="40" t="s">
        <v>4</v>
      </c>
      <c r="E19" s="40" t="s">
        <v>5</v>
      </c>
      <c r="F19" s="40" t="s">
        <v>6</v>
      </c>
      <c r="G19" s="40" t="s">
        <v>7</v>
      </c>
      <c r="H19" s="40" t="s">
        <v>8</v>
      </c>
      <c r="I19" s="40" t="s">
        <v>9</v>
      </c>
      <c r="J19" s="40" t="s">
        <v>10</v>
      </c>
      <c r="K19" s="40" t="s">
        <v>11</v>
      </c>
      <c r="L19" s="40" t="s">
        <v>12</v>
      </c>
      <c r="M19" s="40" t="s">
        <v>13</v>
      </c>
      <c r="N19" s="40" t="s">
        <v>14</v>
      </c>
      <c r="O19" s="40" t="s">
        <v>15</v>
      </c>
      <c r="P19" s="26"/>
      <c r="Q19" s="40" t="s">
        <v>4</v>
      </c>
      <c r="R19" s="40" t="s">
        <v>5</v>
      </c>
      <c r="S19" s="40" t="s">
        <v>6</v>
      </c>
      <c r="T19" s="40" t="s">
        <v>7</v>
      </c>
      <c r="U19" s="40" t="s">
        <v>8</v>
      </c>
      <c r="V19" s="40" t="s">
        <v>9</v>
      </c>
      <c r="W19" s="40" t="s">
        <v>10</v>
      </c>
      <c r="X19" s="40" t="s">
        <v>11</v>
      </c>
      <c r="Y19" s="40" t="s">
        <v>12</v>
      </c>
      <c r="Z19" s="40" t="s">
        <v>13</v>
      </c>
      <c r="AA19" s="40" t="s">
        <v>14</v>
      </c>
      <c r="AB19" s="40" t="s">
        <v>15</v>
      </c>
      <c r="AC19" s="27"/>
      <c r="AD19" s="40" t="s">
        <v>4</v>
      </c>
      <c r="AE19" s="40" t="s">
        <v>5</v>
      </c>
      <c r="AF19" s="40" t="s">
        <v>6</v>
      </c>
      <c r="AG19" s="40" t="s">
        <v>7</v>
      </c>
      <c r="AH19" s="40" t="s">
        <v>8</v>
      </c>
      <c r="AI19" s="40" t="s">
        <v>9</v>
      </c>
      <c r="AJ19" s="40" t="s">
        <v>10</v>
      </c>
      <c r="AK19" s="40" t="s">
        <v>11</v>
      </c>
      <c r="AL19" s="40" t="s">
        <v>12</v>
      </c>
      <c r="AM19" s="40" t="s">
        <v>13</v>
      </c>
      <c r="AN19" s="40" t="s">
        <v>14</v>
      </c>
      <c r="AO19" s="40" t="s">
        <v>15</v>
      </c>
      <c r="AP19" s="27"/>
    </row>
    <row r="20" spans="1:42" ht="15.75" customHeight="1">
      <c r="A20" s="8" t="s">
        <v>19</v>
      </c>
      <c r="B20" s="41">
        <v>2500</v>
      </c>
      <c r="C20" s="42">
        <v>500</v>
      </c>
      <c r="D20" s="43">
        <f t="shared" ref="D20:O20" si="8">(D4*$B20)+(D4*$C20)</f>
        <v>3000</v>
      </c>
      <c r="E20" s="43">
        <f t="shared" si="8"/>
        <v>3000</v>
      </c>
      <c r="F20" s="43">
        <f t="shared" si="8"/>
        <v>3000</v>
      </c>
      <c r="G20" s="43">
        <f t="shared" si="8"/>
        <v>3000</v>
      </c>
      <c r="H20" s="43">
        <f t="shared" si="8"/>
        <v>3000</v>
      </c>
      <c r="I20" s="43">
        <f t="shared" si="8"/>
        <v>3000</v>
      </c>
      <c r="J20" s="43">
        <f t="shared" si="8"/>
        <v>3000</v>
      </c>
      <c r="K20" s="43">
        <f t="shared" si="8"/>
        <v>3000</v>
      </c>
      <c r="L20" s="43">
        <f t="shared" si="8"/>
        <v>3000</v>
      </c>
      <c r="M20" s="43">
        <f t="shared" si="8"/>
        <v>3000</v>
      </c>
      <c r="N20" s="43">
        <f t="shared" si="8"/>
        <v>3000</v>
      </c>
      <c r="O20" s="43">
        <f t="shared" si="8"/>
        <v>3000</v>
      </c>
      <c r="P20" s="44">
        <f t="shared" ref="P20:P28" si="9">SUM(D20:O20)</f>
        <v>36000</v>
      </c>
      <c r="Q20" s="43">
        <f t="shared" ref="Q20:AB20" si="10">(Q4*$B20)+(Q4*$C20)</f>
        <v>3000</v>
      </c>
      <c r="R20" s="43">
        <f t="shared" si="10"/>
        <v>3000</v>
      </c>
      <c r="S20" s="43">
        <f t="shared" si="10"/>
        <v>3000</v>
      </c>
      <c r="T20" s="43">
        <f t="shared" si="10"/>
        <v>3000</v>
      </c>
      <c r="U20" s="43">
        <f t="shared" si="10"/>
        <v>3000</v>
      </c>
      <c r="V20" s="43">
        <f t="shared" si="10"/>
        <v>0</v>
      </c>
      <c r="W20" s="43">
        <f t="shared" si="10"/>
        <v>3000</v>
      </c>
      <c r="X20" s="43">
        <f t="shared" si="10"/>
        <v>3000</v>
      </c>
      <c r="Y20" s="43">
        <f t="shared" si="10"/>
        <v>3000</v>
      </c>
      <c r="Z20" s="43">
        <f t="shared" si="10"/>
        <v>3000</v>
      </c>
      <c r="AA20" s="43">
        <f t="shared" si="10"/>
        <v>3000</v>
      </c>
      <c r="AB20" s="43">
        <f t="shared" si="10"/>
        <v>0</v>
      </c>
      <c r="AC20" s="45">
        <f t="shared" ref="AC20:AC28" si="11">SUM(Q20:AB20)</f>
        <v>30000</v>
      </c>
      <c r="AD20" s="43">
        <f t="shared" ref="AD20:AO20" si="12">(AD4*$B20)+(AD4*$C20)</f>
        <v>3000</v>
      </c>
      <c r="AE20" s="43">
        <f t="shared" si="12"/>
        <v>3000</v>
      </c>
      <c r="AF20" s="43">
        <f t="shared" si="12"/>
        <v>3000</v>
      </c>
      <c r="AG20" s="43">
        <f t="shared" si="12"/>
        <v>3000</v>
      </c>
      <c r="AH20" s="43">
        <f t="shared" si="12"/>
        <v>3000</v>
      </c>
      <c r="AI20" s="43">
        <f t="shared" si="12"/>
        <v>3000</v>
      </c>
      <c r="AJ20" s="43">
        <f t="shared" si="12"/>
        <v>3000</v>
      </c>
      <c r="AK20" s="43">
        <f t="shared" si="12"/>
        <v>3000</v>
      </c>
      <c r="AL20" s="43">
        <f t="shared" si="12"/>
        <v>3000</v>
      </c>
      <c r="AM20" s="43">
        <f t="shared" si="12"/>
        <v>3000</v>
      </c>
      <c r="AN20" s="43">
        <f t="shared" si="12"/>
        <v>3000</v>
      </c>
      <c r="AO20" s="43">
        <f t="shared" si="12"/>
        <v>3000</v>
      </c>
      <c r="AP20" s="45">
        <f t="shared" ref="AP20:AP28" si="13">SUM(AD20:AO20)</f>
        <v>36000</v>
      </c>
    </row>
    <row r="21" spans="1:42" ht="15.75" customHeight="1">
      <c r="A21" s="8" t="s">
        <v>20</v>
      </c>
      <c r="B21" s="41">
        <v>2</v>
      </c>
      <c r="C21" s="42"/>
      <c r="D21" s="43">
        <f t="shared" ref="D21:O21" si="14">(D5*$B21)+(D5*$C21)</f>
        <v>48</v>
      </c>
      <c r="E21" s="43">
        <f t="shared" si="14"/>
        <v>72</v>
      </c>
      <c r="F21" s="43">
        <f t="shared" si="14"/>
        <v>96</v>
      </c>
      <c r="G21" s="43">
        <f t="shared" si="14"/>
        <v>120</v>
      </c>
      <c r="H21" s="43">
        <f t="shared" si="14"/>
        <v>120</v>
      </c>
      <c r="I21" s="43">
        <f t="shared" si="14"/>
        <v>120</v>
      </c>
      <c r="J21" s="43">
        <f t="shared" si="14"/>
        <v>144</v>
      </c>
      <c r="K21" s="43">
        <f t="shared" si="14"/>
        <v>144</v>
      </c>
      <c r="L21" s="43">
        <f t="shared" si="14"/>
        <v>168</v>
      </c>
      <c r="M21" s="43">
        <f t="shared" si="14"/>
        <v>168</v>
      </c>
      <c r="N21" s="43">
        <f t="shared" si="14"/>
        <v>168</v>
      </c>
      <c r="O21" s="43">
        <f t="shared" si="14"/>
        <v>168</v>
      </c>
      <c r="P21" s="44">
        <f t="shared" si="9"/>
        <v>1536</v>
      </c>
      <c r="Q21" s="43">
        <f t="shared" ref="Q21:AB21" si="15">(Q5*$B21)+(Q5*$C21)</f>
        <v>168</v>
      </c>
      <c r="R21" s="43">
        <f t="shared" si="15"/>
        <v>168</v>
      </c>
      <c r="S21" s="43">
        <f t="shared" si="15"/>
        <v>168</v>
      </c>
      <c r="T21" s="43">
        <f t="shared" si="15"/>
        <v>168</v>
      </c>
      <c r="U21" s="43">
        <f t="shared" si="15"/>
        <v>168</v>
      </c>
      <c r="V21" s="43">
        <f t="shared" si="15"/>
        <v>168</v>
      </c>
      <c r="W21" s="43">
        <f t="shared" si="15"/>
        <v>168</v>
      </c>
      <c r="X21" s="43">
        <f t="shared" si="15"/>
        <v>168</v>
      </c>
      <c r="Y21" s="43">
        <f t="shared" si="15"/>
        <v>168</v>
      </c>
      <c r="Z21" s="43">
        <f t="shared" si="15"/>
        <v>168</v>
      </c>
      <c r="AA21" s="43">
        <f t="shared" si="15"/>
        <v>168</v>
      </c>
      <c r="AB21" s="43">
        <f t="shared" si="15"/>
        <v>168</v>
      </c>
      <c r="AC21" s="45">
        <f t="shared" si="11"/>
        <v>2016</v>
      </c>
      <c r="AD21" s="43">
        <f t="shared" ref="AD21:AO21" si="16">(AD5*$B21)+(AD5*$C21)</f>
        <v>168</v>
      </c>
      <c r="AE21" s="43">
        <f t="shared" si="16"/>
        <v>168</v>
      </c>
      <c r="AF21" s="43">
        <f t="shared" si="16"/>
        <v>168</v>
      </c>
      <c r="AG21" s="43">
        <f t="shared" si="16"/>
        <v>168</v>
      </c>
      <c r="AH21" s="43">
        <f t="shared" si="16"/>
        <v>168</v>
      </c>
      <c r="AI21" s="43">
        <f t="shared" si="16"/>
        <v>168</v>
      </c>
      <c r="AJ21" s="43">
        <f t="shared" si="16"/>
        <v>168</v>
      </c>
      <c r="AK21" s="43">
        <f t="shared" si="16"/>
        <v>168</v>
      </c>
      <c r="AL21" s="43">
        <f t="shared" si="16"/>
        <v>168</v>
      </c>
      <c r="AM21" s="43">
        <f t="shared" si="16"/>
        <v>168</v>
      </c>
      <c r="AN21" s="43">
        <f t="shared" si="16"/>
        <v>168</v>
      </c>
      <c r="AO21" s="43">
        <f t="shared" si="16"/>
        <v>168</v>
      </c>
      <c r="AP21" s="45">
        <f t="shared" si="13"/>
        <v>2016</v>
      </c>
    </row>
    <row r="22" spans="1:42" ht="15.75" customHeight="1">
      <c r="A22" s="8" t="s">
        <v>21</v>
      </c>
      <c r="B22" s="41">
        <v>1.5</v>
      </c>
      <c r="C22" s="42"/>
      <c r="D22" s="43">
        <f t="shared" ref="D22:O22" si="17">(D6*$B22)+(D6*$C22)</f>
        <v>3</v>
      </c>
      <c r="E22" s="43">
        <f t="shared" si="17"/>
        <v>4.5</v>
      </c>
      <c r="F22" s="43">
        <f t="shared" si="17"/>
        <v>6</v>
      </c>
      <c r="G22" s="43">
        <f t="shared" si="17"/>
        <v>7.5</v>
      </c>
      <c r="H22" s="43">
        <f t="shared" si="17"/>
        <v>7.5</v>
      </c>
      <c r="I22" s="43">
        <f t="shared" si="17"/>
        <v>7.5</v>
      </c>
      <c r="J22" s="43">
        <f t="shared" si="17"/>
        <v>9</v>
      </c>
      <c r="K22" s="43">
        <f t="shared" si="17"/>
        <v>9</v>
      </c>
      <c r="L22" s="43">
        <f t="shared" si="17"/>
        <v>10.5</v>
      </c>
      <c r="M22" s="43">
        <f t="shared" si="17"/>
        <v>10.5</v>
      </c>
      <c r="N22" s="43">
        <f t="shared" si="17"/>
        <v>10.5</v>
      </c>
      <c r="O22" s="43">
        <f t="shared" si="17"/>
        <v>10.5</v>
      </c>
      <c r="P22" s="44">
        <f t="shared" si="9"/>
        <v>96</v>
      </c>
      <c r="Q22" s="43">
        <f t="shared" ref="Q22:AB22" si="18">(Q6*$B22)+(Q6*$C22)</f>
        <v>10.5</v>
      </c>
      <c r="R22" s="43">
        <f t="shared" si="18"/>
        <v>10.5</v>
      </c>
      <c r="S22" s="43">
        <f t="shared" si="18"/>
        <v>10.5</v>
      </c>
      <c r="T22" s="43">
        <f t="shared" si="18"/>
        <v>10.5</v>
      </c>
      <c r="U22" s="43">
        <f t="shared" si="18"/>
        <v>10.5</v>
      </c>
      <c r="V22" s="43">
        <f t="shared" si="18"/>
        <v>10.5</v>
      </c>
      <c r="W22" s="43">
        <f t="shared" si="18"/>
        <v>10.5</v>
      </c>
      <c r="X22" s="43">
        <f t="shared" si="18"/>
        <v>10.5</v>
      </c>
      <c r="Y22" s="43">
        <f t="shared" si="18"/>
        <v>10.5</v>
      </c>
      <c r="Z22" s="43">
        <f t="shared" si="18"/>
        <v>10.5</v>
      </c>
      <c r="AA22" s="43">
        <f t="shared" si="18"/>
        <v>10.5</v>
      </c>
      <c r="AB22" s="43">
        <f t="shared" si="18"/>
        <v>10.5</v>
      </c>
      <c r="AC22" s="45">
        <f t="shared" si="11"/>
        <v>126</v>
      </c>
      <c r="AD22" s="43">
        <f t="shared" ref="AD22:AO22" si="19">(AD6*$B22)+(AD6*$C22)</f>
        <v>10.5</v>
      </c>
      <c r="AE22" s="43">
        <f t="shared" si="19"/>
        <v>10.5</v>
      </c>
      <c r="AF22" s="43">
        <f t="shared" si="19"/>
        <v>10.5</v>
      </c>
      <c r="AG22" s="43">
        <f t="shared" si="19"/>
        <v>10.5</v>
      </c>
      <c r="AH22" s="43">
        <f t="shared" si="19"/>
        <v>10.5</v>
      </c>
      <c r="AI22" s="43">
        <f t="shared" si="19"/>
        <v>10.5</v>
      </c>
      <c r="AJ22" s="43">
        <f t="shared" si="19"/>
        <v>10.5</v>
      </c>
      <c r="AK22" s="43">
        <f t="shared" si="19"/>
        <v>10.5</v>
      </c>
      <c r="AL22" s="43">
        <f t="shared" si="19"/>
        <v>10.5</v>
      </c>
      <c r="AM22" s="43">
        <f t="shared" si="19"/>
        <v>10.5</v>
      </c>
      <c r="AN22" s="43">
        <f t="shared" si="19"/>
        <v>10.5</v>
      </c>
      <c r="AO22" s="43">
        <f t="shared" si="19"/>
        <v>10.5</v>
      </c>
      <c r="AP22" s="45">
        <f t="shared" si="13"/>
        <v>126</v>
      </c>
    </row>
    <row r="23" spans="1:42" ht="15.75" customHeight="1">
      <c r="A23" s="8" t="s">
        <v>22</v>
      </c>
      <c r="B23" s="41">
        <v>10</v>
      </c>
      <c r="C23" s="42"/>
      <c r="D23" s="43">
        <f t="shared" ref="D23:O23" si="20">(D7*$B23)+(D7*$C23)</f>
        <v>20</v>
      </c>
      <c r="E23" s="43">
        <f t="shared" si="20"/>
        <v>30</v>
      </c>
      <c r="F23" s="43">
        <f t="shared" si="20"/>
        <v>40</v>
      </c>
      <c r="G23" s="43">
        <f t="shared" si="20"/>
        <v>50</v>
      </c>
      <c r="H23" s="43">
        <f t="shared" si="20"/>
        <v>50</v>
      </c>
      <c r="I23" s="43">
        <f t="shared" si="20"/>
        <v>50</v>
      </c>
      <c r="J23" s="43">
        <f t="shared" si="20"/>
        <v>60</v>
      </c>
      <c r="K23" s="43">
        <f t="shared" si="20"/>
        <v>60</v>
      </c>
      <c r="L23" s="43">
        <f t="shared" si="20"/>
        <v>70</v>
      </c>
      <c r="M23" s="43">
        <f t="shared" si="20"/>
        <v>70</v>
      </c>
      <c r="N23" s="43">
        <f t="shared" si="20"/>
        <v>70</v>
      </c>
      <c r="O23" s="43">
        <f t="shared" si="20"/>
        <v>70</v>
      </c>
      <c r="P23" s="44">
        <f t="shared" si="9"/>
        <v>640</v>
      </c>
      <c r="Q23" s="43">
        <f t="shared" ref="Q23:AB23" si="21">(Q7*$B23)+(Q7*$C23)</f>
        <v>70</v>
      </c>
      <c r="R23" s="43">
        <f t="shared" si="21"/>
        <v>70</v>
      </c>
      <c r="S23" s="43">
        <f t="shared" si="21"/>
        <v>70</v>
      </c>
      <c r="T23" s="43">
        <f t="shared" si="21"/>
        <v>70</v>
      </c>
      <c r="U23" s="43">
        <f t="shared" si="21"/>
        <v>70</v>
      </c>
      <c r="V23" s="43">
        <f t="shared" si="21"/>
        <v>70</v>
      </c>
      <c r="W23" s="43">
        <f t="shared" si="21"/>
        <v>70</v>
      </c>
      <c r="X23" s="43">
        <f t="shared" si="21"/>
        <v>70</v>
      </c>
      <c r="Y23" s="43">
        <f t="shared" si="21"/>
        <v>70</v>
      </c>
      <c r="Z23" s="43">
        <f t="shared" si="21"/>
        <v>70</v>
      </c>
      <c r="AA23" s="43">
        <f t="shared" si="21"/>
        <v>70</v>
      </c>
      <c r="AB23" s="43">
        <f t="shared" si="21"/>
        <v>70</v>
      </c>
      <c r="AC23" s="45">
        <f t="shared" si="11"/>
        <v>840</v>
      </c>
      <c r="AD23" s="43">
        <f t="shared" ref="AD23:AO23" si="22">(AD7*$B23)+(AD7*$C23)</f>
        <v>70</v>
      </c>
      <c r="AE23" s="43">
        <f t="shared" si="22"/>
        <v>70</v>
      </c>
      <c r="AF23" s="43">
        <f t="shared" si="22"/>
        <v>70</v>
      </c>
      <c r="AG23" s="43">
        <f t="shared" si="22"/>
        <v>70</v>
      </c>
      <c r="AH23" s="43">
        <f t="shared" si="22"/>
        <v>70</v>
      </c>
      <c r="AI23" s="43">
        <f t="shared" si="22"/>
        <v>70</v>
      </c>
      <c r="AJ23" s="43">
        <f t="shared" si="22"/>
        <v>70</v>
      </c>
      <c r="AK23" s="43">
        <f t="shared" si="22"/>
        <v>70</v>
      </c>
      <c r="AL23" s="43">
        <f t="shared" si="22"/>
        <v>70</v>
      </c>
      <c r="AM23" s="43">
        <f t="shared" si="22"/>
        <v>70</v>
      </c>
      <c r="AN23" s="43">
        <f t="shared" si="22"/>
        <v>70</v>
      </c>
      <c r="AO23" s="43">
        <f t="shared" si="22"/>
        <v>70</v>
      </c>
      <c r="AP23" s="45">
        <f t="shared" si="13"/>
        <v>840</v>
      </c>
    </row>
    <row r="24" spans="1:42" ht="15.75" customHeight="1">
      <c r="A24" s="8" t="s">
        <v>23</v>
      </c>
      <c r="B24" s="41"/>
      <c r="C24" s="42"/>
      <c r="D24" s="43">
        <f t="shared" ref="D24:O24" si="23">(D8*$B24)+(D8*$C24)</f>
        <v>0</v>
      </c>
      <c r="E24" s="43">
        <f t="shared" si="23"/>
        <v>0</v>
      </c>
      <c r="F24" s="43">
        <f t="shared" si="23"/>
        <v>0</v>
      </c>
      <c r="G24" s="43">
        <f t="shared" si="23"/>
        <v>0</v>
      </c>
      <c r="H24" s="43">
        <f t="shared" si="23"/>
        <v>0</v>
      </c>
      <c r="I24" s="43">
        <f t="shared" si="23"/>
        <v>0</v>
      </c>
      <c r="J24" s="43">
        <f t="shared" si="23"/>
        <v>0</v>
      </c>
      <c r="K24" s="43">
        <f t="shared" si="23"/>
        <v>0</v>
      </c>
      <c r="L24" s="43">
        <f t="shared" si="23"/>
        <v>0</v>
      </c>
      <c r="M24" s="43">
        <f t="shared" si="23"/>
        <v>0</v>
      </c>
      <c r="N24" s="43">
        <f t="shared" si="23"/>
        <v>0</v>
      </c>
      <c r="O24" s="43">
        <f t="shared" si="23"/>
        <v>0</v>
      </c>
      <c r="P24" s="44">
        <f t="shared" si="9"/>
        <v>0</v>
      </c>
      <c r="Q24" s="43">
        <f t="shared" ref="Q24:AB24" si="24">(Q8*$B24)+(Q8*$C24)</f>
        <v>0</v>
      </c>
      <c r="R24" s="43">
        <f t="shared" si="24"/>
        <v>0</v>
      </c>
      <c r="S24" s="43">
        <f t="shared" si="24"/>
        <v>0</v>
      </c>
      <c r="T24" s="43">
        <f t="shared" si="24"/>
        <v>0</v>
      </c>
      <c r="U24" s="43">
        <f t="shared" si="24"/>
        <v>0</v>
      </c>
      <c r="V24" s="43">
        <f t="shared" si="24"/>
        <v>0</v>
      </c>
      <c r="W24" s="43">
        <f t="shared" si="24"/>
        <v>0</v>
      </c>
      <c r="X24" s="43">
        <f t="shared" si="24"/>
        <v>0</v>
      </c>
      <c r="Y24" s="43">
        <f t="shared" si="24"/>
        <v>0</v>
      </c>
      <c r="Z24" s="43">
        <f t="shared" si="24"/>
        <v>0</v>
      </c>
      <c r="AA24" s="43">
        <f t="shared" si="24"/>
        <v>0</v>
      </c>
      <c r="AB24" s="43">
        <f t="shared" si="24"/>
        <v>0</v>
      </c>
      <c r="AC24" s="45">
        <f t="shared" si="11"/>
        <v>0</v>
      </c>
      <c r="AD24" s="43">
        <f t="shared" ref="AD24:AO24" si="25">(AD8*$B24)+(AD8*$C24)</f>
        <v>0</v>
      </c>
      <c r="AE24" s="43">
        <f t="shared" si="25"/>
        <v>0</v>
      </c>
      <c r="AF24" s="43">
        <f t="shared" si="25"/>
        <v>0</v>
      </c>
      <c r="AG24" s="43">
        <f t="shared" si="25"/>
        <v>0</v>
      </c>
      <c r="AH24" s="43">
        <f t="shared" si="25"/>
        <v>0</v>
      </c>
      <c r="AI24" s="43">
        <f t="shared" si="25"/>
        <v>0</v>
      </c>
      <c r="AJ24" s="43">
        <f t="shared" si="25"/>
        <v>0</v>
      </c>
      <c r="AK24" s="43">
        <f t="shared" si="25"/>
        <v>0</v>
      </c>
      <c r="AL24" s="43">
        <f t="shared" si="25"/>
        <v>0</v>
      </c>
      <c r="AM24" s="43">
        <f t="shared" si="25"/>
        <v>0</v>
      </c>
      <c r="AN24" s="43">
        <f t="shared" si="25"/>
        <v>0</v>
      </c>
      <c r="AO24" s="43">
        <f t="shared" si="25"/>
        <v>0</v>
      </c>
      <c r="AP24" s="45">
        <f t="shared" si="13"/>
        <v>0</v>
      </c>
    </row>
    <row r="25" spans="1:42" ht="15.75" customHeight="1">
      <c r="A25" s="8" t="s">
        <v>24</v>
      </c>
      <c r="B25" s="46"/>
      <c r="C25" s="42"/>
      <c r="D25" s="43">
        <f t="shared" ref="D25:O25" si="26">(D9*$B25)+(D9*$C25)</f>
        <v>0</v>
      </c>
      <c r="E25" s="43">
        <f t="shared" si="26"/>
        <v>0</v>
      </c>
      <c r="F25" s="43">
        <f t="shared" si="26"/>
        <v>0</v>
      </c>
      <c r="G25" s="43">
        <f t="shared" si="26"/>
        <v>0</v>
      </c>
      <c r="H25" s="43">
        <f t="shared" si="26"/>
        <v>0</v>
      </c>
      <c r="I25" s="43">
        <f t="shared" si="26"/>
        <v>0</v>
      </c>
      <c r="J25" s="43">
        <f t="shared" si="26"/>
        <v>0</v>
      </c>
      <c r="K25" s="43">
        <f t="shared" si="26"/>
        <v>0</v>
      </c>
      <c r="L25" s="43">
        <f t="shared" si="26"/>
        <v>0</v>
      </c>
      <c r="M25" s="43">
        <f t="shared" si="26"/>
        <v>0</v>
      </c>
      <c r="N25" s="43">
        <f t="shared" si="26"/>
        <v>0</v>
      </c>
      <c r="O25" s="43">
        <f t="shared" si="26"/>
        <v>0</v>
      </c>
      <c r="P25" s="44">
        <f t="shared" si="9"/>
        <v>0</v>
      </c>
      <c r="Q25" s="43">
        <f t="shared" ref="Q25:AB25" si="27">(Q9*$B25)+(Q9*$C25)</f>
        <v>0</v>
      </c>
      <c r="R25" s="43">
        <f t="shared" si="27"/>
        <v>0</v>
      </c>
      <c r="S25" s="43">
        <f t="shared" si="27"/>
        <v>0</v>
      </c>
      <c r="T25" s="43">
        <f t="shared" si="27"/>
        <v>0</v>
      </c>
      <c r="U25" s="43">
        <f t="shared" si="27"/>
        <v>0</v>
      </c>
      <c r="V25" s="43">
        <f t="shared" si="27"/>
        <v>0</v>
      </c>
      <c r="W25" s="43">
        <f t="shared" si="27"/>
        <v>0</v>
      </c>
      <c r="X25" s="43">
        <f t="shared" si="27"/>
        <v>0</v>
      </c>
      <c r="Y25" s="43">
        <f t="shared" si="27"/>
        <v>0</v>
      </c>
      <c r="Z25" s="43">
        <f t="shared" si="27"/>
        <v>0</v>
      </c>
      <c r="AA25" s="43">
        <f t="shared" si="27"/>
        <v>0</v>
      </c>
      <c r="AB25" s="43">
        <f t="shared" si="27"/>
        <v>0</v>
      </c>
      <c r="AC25" s="45">
        <f t="shared" si="11"/>
        <v>0</v>
      </c>
      <c r="AD25" s="43">
        <f t="shared" ref="AD25:AO25" si="28">(AD9*$B25)+(AD9*$C25)</f>
        <v>0</v>
      </c>
      <c r="AE25" s="43">
        <f t="shared" si="28"/>
        <v>0</v>
      </c>
      <c r="AF25" s="43">
        <f t="shared" si="28"/>
        <v>0</v>
      </c>
      <c r="AG25" s="43">
        <f t="shared" si="28"/>
        <v>0</v>
      </c>
      <c r="AH25" s="43">
        <f t="shared" si="28"/>
        <v>0</v>
      </c>
      <c r="AI25" s="43">
        <f t="shared" si="28"/>
        <v>0</v>
      </c>
      <c r="AJ25" s="43">
        <f t="shared" si="28"/>
        <v>0</v>
      </c>
      <c r="AK25" s="43">
        <f t="shared" si="28"/>
        <v>0</v>
      </c>
      <c r="AL25" s="43">
        <f t="shared" si="28"/>
        <v>0</v>
      </c>
      <c r="AM25" s="43">
        <f t="shared" si="28"/>
        <v>0</v>
      </c>
      <c r="AN25" s="43">
        <f t="shared" si="28"/>
        <v>0</v>
      </c>
      <c r="AO25" s="43">
        <f t="shared" si="28"/>
        <v>0</v>
      </c>
      <c r="AP25" s="45">
        <f t="shared" si="13"/>
        <v>0</v>
      </c>
    </row>
    <row r="26" spans="1:42" ht="15.75" customHeight="1">
      <c r="A26" s="8" t="s">
        <v>25</v>
      </c>
      <c r="B26" s="46"/>
      <c r="C26" s="42"/>
      <c r="D26" s="43">
        <f t="shared" ref="D26:O26" si="29">(D10*$B26)+(D10*$C26)</f>
        <v>0</v>
      </c>
      <c r="E26" s="43">
        <f t="shared" si="29"/>
        <v>0</v>
      </c>
      <c r="F26" s="43">
        <f t="shared" si="29"/>
        <v>0</v>
      </c>
      <c r="G26" s="43">
        <f t="shared" si="29"/>
        <v>0</v>
      </c>
      <c r="H26" s="43">
        <f t="shared" si="29"/>
        <v>0</v>
      </c>
      <c r="I26" s="43">
        <f t="shared" si="29"/>
        <v>0</v>
      </c>
      <c r="J26" s="43">
        <f t="shared" si="29"/>
        <v>0</v>
      </c>
      <c r="K26" s="43">
        <f t="shared" si="29"/>
        <v>0</v>
      </c>
      <c r="L26" s="43">
        <f t="shared" si="29"/>
        <v>0</v>
      </c>
      <c r="M26" s="43">
        <f t="shared" si="29"/>
        <v>0</v>
      </c>
      <c r="N26" s="43">
        <f t="shared" si="29"/>
        <v>0</v>
      </c>
      <c r="O26" s="43">
        <f t="shared" si="29"/>
        <v>0</v>
      </c>
      <c r="P26" s="44">
        <f t="shared" si="9"/>
        <v>0</v>
      </c>
      <c r="Q26" s="43">
        <f t="shared" ref="Q26:AB26" si="30">(Q10*$B26)+(Q10*$C26)</f>
        <v>0</v>
      </c>
      <c r="R26" s="43">
        <f t="shared" si="30"/>
        <v>0</v>
      </c>
      <c r="S26" s="43">
        <f t="shared" si="30"/>
        <v>0</v>
      </c>
      <c r="T26" s="43">
        <f t="shared" si="30"/>
        <v>0</v>
      </c>
      <c r="U26" s="43">
        <f t="shared" si="30"/>
        <v>0</v>
      </c>
      <c r="V26" s="43">
        <f t="shared" si="30"/>
        <v>0</v>
      </c>
      <c r="W26" s="43">
        <f t="shared" si="30"/>
        <v>0</v>
      </c>
      <c r="X26" s="43">
        <f t="shared" si="30"/>
        <v>0</v>
      </c>
      <c r="Y26" s="43">
        <f t="shared" si="30"/>
        <v>0</v>
      </c>
      <c r="Z26" s="43">
        <f t="shared" si="30"/>
        <v>0</v>
      </c>
      <c r="AA26" s="43">
        <f t="shared" si="30"/>
        <v>0</v>
      </c>
      <c r="AB26" s="43">
        <f t="shared" si="30"/>
        <v>0</v>
      </c>
      <c r="AC26" s="45">
        <f t="shared" si="11"/>
        <v>0</v>
      </c>
      <c r="AD26" s="43">
        <f t="shared" ref="AD26:AO26" si="31">(AD10*$B26)+(AD10*$C26)</f>
        <v>0</v>
      </c>
      <c r="AE26" s="43">
        <f t="shared" si="31"/>
        <v>0</v>
      </c>
      <c r="AF26" s="43">
        <f t="shared" si="31"/>
        <v>0</v>
      </c>
      <c r="AG26" s="43">
        <f t="shared" si="31"/>
        <v>0</v>
      </c>
      <c r="AH26" s="43">
        <f t="shared" si="31"/>
        <v>0</v>
      </c>
      <c r="AI26" s="43">
        <f t="shared" si="31"/>
        <v>0</v>
      </c>
      <c r="AJ26" s="43">
        <f t="shared" si="31"/>
        <v>0</v>
      </c>
      <c r="AK26" s="43">
        <f t="shared" si="31"/>
        <v>0</v>
      </c>
      <c r="AL26" s="43">
        <f t="shared" si="31"/>
        <v>0</v>
      </c>
      <c r="AM26" s="43">
        <f t="shared" si="31"/>
        <v>0</v>
      </c>
      <c r="AN26" s="43">
        <f t="shared" si="31"/>
        <v>0</v>
      </c>
      <c r="AO26" s="43">
        <f t="shared" si="31"/>
        <v>0</v>
      </c>
      <c r="AP26" s="45">
        <f t="shared" si="13"/>
        <v>0</v>
      </c>
    </row>
    <row r="27" spans="1:42" ht="15.75" customHeight="1">
      <c r="A27" s="8" t="s">
        <v>25</v>
      </c>
      <c r="B27" s="46"/>
      <c r="C27" s="42"/>
      <c r="D27" s="43">
        <f t="shared" ref="D27:O27" si="32">(D11*$B27)+(D11*$C27)</f>
        <v>0</v>
      </c>
      <c r="E27" s="43">
        <f t="shared" si="32"/>
        <v>0</v>
      </c>
      <c r="F27" s="43">
        <f t="shared" si="32"/>
        <v>0</v>
      </c>
      <c r="G27" s="43">
        <f t="shared" si="32"/>
        <v>0</v>
      </c>
      <c r="H27" s="43">
        <f t="shared" si="32"/>
        <v>0</v>
      </c>
      <c r="I27" s="43">
        <f t="shared" si="32"/>
        <v>0</v>
      </c>
      <c r="J27" s="43">
        <f t="shared" si="32"/>
        <v>0</v>
      </c>
      <c r="K27" s="43">
        <f t="shared" si="32"/>
        <v>0</v>
      </c>
      <c r="L27" s="43">
        <f t="shared" si="32"/>
        <v>0</v>
      </c>
      <c r="M27" s="43">
        <f t="shared" si="32"/>
        <v>0</v>
      </c>
      <c r="N27" s="43">
        <f t="shared" si="32"/>
        <v>0</v>
      </c>
      <c r="O27" s="43">
        <f t="shared" si="32"/>
        <v>0</v>
      </c>
      <c r="P27" s="44">
        <f t="shared" si="9"/>
        <v>0</v>
      </c>
      <c r="Q27" s="43">
        <f t="shared" ref="Q27:AB27" si="33">(Q11*$B27)+(Q11*$C27)</f>
        <v>0</v>
      </c>
      <c r="R27" s="43">
        <f t="shared" si="33"/>
        <v>0</v>
      </c>
      <c r="S27" s="43">
        <f t="shared" si="33"/>
        <v>0</v>
      </c>
      <c r="T27" s="43">
        <f t="shared" si="33"/>
        <v>0</v>
      </c>
      <c r="U27" s="43">
        <f t="shared" si="33"/>
        <v>0</v>
      </c>
      <c r="V27" s="43">
        <f t="shared" si="33"/>
        <v>0</v>
      </c>
      <c r="W27" s="43">
        <f t="shared" si="33"/>
        <v>0</v>
      </c>
      <c r="X27" s="43">
        <f t="shared" si="33"/>
        <v>0</v>
      </c>
      <c r="Y27" s="43">
        <f t="shared" si="33"/>
        <v>0</v>
      </c>
      <c r="Z27" s="43">
        <f t="shared" si="33"/>
        <v>0</v>
      </c>
      <c r="AA27" s="43">
        <f t="shared" si="33"/>
        <v>0</v>
      </c>
      <c r="AB27" s="43">
        <f t="shared" si="33"/>
        <v>0</v>
      </c>
      <c r="AC27" s="45">
        <f t="shared" si="11"/>
        <v>0</v>
      </c>
      <c r="AD27" s="43">
        <f t="shared" ref="AD27:AO27" si="34">(AD11*$B27)+(AD11*$C27)</f>
        <v>0</v>
      </c>
      <c r="AE27" s="43">
        <f t="shared" si="34"/>
        <v>0</v>
      </c>
      <c r="AF27" s="43">
        <f t="shared" si="34"/>
        <v>0</v>
      </c>
      <c r="AG27" s="43">
        <f t="shared" si="34"/>
        <v>0</v>
      </c>
      <c r="AH27" s="43">
        <f t="shared" si="34"/>
        <v>0</v>
      </c>
      <c r="AI27" s="43">
        <f t="shared" si="34"/>
        <v>0</v>
      </c>
      <c r="AJ27" s="43">
        <f t="shared" si="34"/>
        <v>0</v>
      </c>
      <c r="AK27" s="43">
        <f t="shared" si="34"/>
        <v>0</v>
      </c>
      <c r="AL27" s="43">
        <f t="shared" si="34"/>
        <v>0</v>
      </c>
      <c r="AM27" s="43">
        <f t="shared" si="34"/>
        <v>0</v>
      </c>
      <c r="AN27" s="43">
        <f t="shared" si="34"/>
        <v>0</v>
      </c>
      <c r="AO27" s="43">
        <f t="shared" si="34"/>
        <v>0</v>
      </c>
      <c r="AP27" s="45">
        <f t="shared" si="13"/>
        <v>0</v>
      </c>
    </row>
    <row r="28" spans="1:42" ht="15.75" customHeight="1">
      <c r="A28" s="8" t="s">
        <v>25</v>
      </c>
      <c r="B28" s="19"/>
      <c r="C28" s="20"/>
      <c r="D28" s="43">
        <f t="shared" ref="D28:O28" si="35">(D12*$B28)+(D12*$C28)</f>
        <v>0</v>
      </c>
      <c r="E28" s="43">
        <f t="shared" si="35"/>
        <v>0</v>
      </c>
      <c r="F28" s="43">
        <f t="shared" si="35"/>
        <v>0</v>
      </c>
      <c r="G28" s="43">
        <f t="shared" si="35"/>
        <v>0</v>
      </c>
      <c r="H28" s="43">
        <f t="shared" si="35"/>
        <v>0</v>
      </c>
      <c r="I28" s="43">
        <f t="shared" si="35"/>
        <v>0</v>
      </c>
      <c r="J28" s="43">
        <f t="shared" si="35"/>
        <v>0</v>
      </c>
      <c r="K28" s="43">
        <f t="shared" si="35"/>
        <v>0</v>
      </c>
      <c r="L28" s="43">
        <f t="shared" si="35"/>
        <v>0</v>
      </c>
      <c r="M28" s="43">
        <f t="shared" si="35"/>
        <v>0</v>
      </c>
      <c r="N28" s="43">
        <f t="shared" si="35"/>
        <v>0</v>
      </c>
      <c r="O28" s="43">
        <f t="shared" si="35"/>
        <v>0</v>
      </c>
      <c r="P28" s="44">
        <f t="shared" si="9"/>
        <v>0</v>
      </c>
      <c r="Q28" s="43">
        <f t="shared" ref="Q28:AB28" si="36">(Q12*$B28)+(Q12*$C28)</f>
        <v>0</v>
      </c>
      <c r="R28" s="43">
        <f t="shared" si="36"/>
        <v>0</v>
      </c>
      <c r="S28" s="43">
        <f t="shared" si="36"/>
        <v>0</v>
      </c>
      <c r="T28" s="43">
        <f t="shared" si="36"/>
        <v>0</v>
      </c>
      <c r="U28" s="43">
        <f t="shared" si="36"/>
        <v>0</v>
      </c>
      <c r="V28" s="43">
        <f t="shared" si="36"/>
        <v>0</v>
      </c>
      <c r="W28" s="43">
        <f t="shared" si="36"/>
        <v>0</v>
      </c>
      <c r="X28" s="43">
        <f t="shared" si="36"/>
        <v>0</v>
      </c>
      <c r="Y28" s="43">
        <f t="shared" si="36"/>
        <v>0</v>
      </c>
      <c r="Z28" s="43">
        <f t="shared" si="36"/>
        <v>0</v>
      </c>
      <c r="AA28" s="43">
        <f t="shared" si="36"/>
        <v>0</v>
      </c>
      <c r="AB28" s="43">
        <f t="shared" si="36"/>
        <v>0</v>
      </c>
      <c r="AC28" s="45">
        <f t="shared" si="11"/>
        <v>0</v>
      </c>
      <c r="AD28" s="43">
        <f t="shared" ref="AD28:AO28" si="37">(AD12*$B28)+(AD12*$C28)</f>
        <v>0</v>
      </c>
      <c r="AE28" s="43">
        <f t="shared" si="37"/>
        <v>0</v>
      </c>
      <c r="AF28" s="43">
        <f t="shared" si="37"/>
        <v>0</v>
      </c>
      <c r="AG28" s="43">
        <f t="shared" si="37"/>
        <v>0</v>
      </c>
      <c r="AH28" s="43">
        <f t="shared" si="37"/>
        <v>0</v>
      </c>
      <c r="AI28" s="43">
        <f t="shared" si="37"/>
        <v>0</v>
      </c>
      <c r="AJ28" s="43">
        <f t="shared" si="37"/>
        <v>0</v>
      </c>
      <c r="AK28" s="43">
        <f t="shared" si="37"/>
        <v>0</v>
      </c>
      <c r="AL28" s="43">
        <f t="shared" si="37"/>
        <v>0</v>
      </c>
      <c r="AM28" s="43">
        <f t="shared" si="37"/>
        <v>0</v>
      </c>
      <c r="AN28" s="43">
        <f t="shared" si="37"/>
        <v>0</v>
      </c>
      <c r="AO28" s="43">
        <f t="shared" si="37"/>
        <v>0</v>
      </c>
      <c r="AP28" s="45">
        <f t="shared" si="13"/>
        <v>0</v>
      </c>
    </row>
    <row r="29" spans="1:42" ht="15.75" customHeight="1">
      <c r="A29" s="8" t="s">
        <v>32</v>
      </c>
      <c r="B29" s="41"/>
      <c r="C29" s="42"/>
      <c r="D29" s="40">
        <f t="shared" ref="D29:O29" si="38">SUM(D20:D28)</f>
        <v>3071</v>
      </c>
      <c r="E29" s="40">
        <f t="shared" si="38"/>
        <v>3106.5</v>
      </c>
      <c r="F29" s="40">
        <f t="shared" si="38"/>
        <v>3142</v>
      </c>
      <c r="G29" s="40">
        <f t="shared" si="38"/>
        <v>3177.5</v>
      </c>
      <c r="H29" s="40">
        <f t="shared" si="38"/>
        <v>3177.5</v>
      </c>
      <c r="I29" s="40">
        <f t="shared" si="38"/>
        <v>3177.5</v>
      </c>
      <c r="J29" s="40">
        <f t="shared" si="38"/>
        <v>3213</v>
      </c>
      <c r="K29" s="40">
        <f t="shared" si="38"/>
        <v>3213</v>
      </c>
      <c r="L29" s="40">
        <f t="shared" si="38"/>
        <v>3248.5</v>
      </c>
      <c r="M29" s="40">
        <f t="shared" si="38"/>
        <v>3248.5</v>
      </c>
      <c r="N29" s="40">
        <f t="shared" si="38"/>
        <v>3248.5</v>
      </c>
      <c r="O29" s="40">
        <f t="shared" si="38"/>
        <v>3248.5</v>
      </c>
      <c r="P29" s="47">
        <f>SUM(P20:P28)</f>
        <v>38272</v>
      </c>
      <c r="Q29" s="40">
        <f t="shared" ref="Q29:AB29" si="39">SUM(Q20:Q28)</f>
        <v>3248.5</v>
      </c>
      <c r="R29" s="40">
        <f t="shared" si="39"/>
        <v>3248.5</v>
      </c>
      <c r="S29" s="40">
        <f t="shared" si="39"/>
        <v>3248.5</v>
      </c>
      <c r="T29" s="40">
        <f t="shared" si="39"/>
        <v>3248.5</v>
      </c>
      <c r="U29" s="40">
        <f t="shared" si="39"/>
        <v>3248.5</v>
      </c>
      <c r="V29" s="40">
        <f t="shared" si="39"/>
        <v>248.5</v>
      </c>
      <c r="W29" s="40">
        <f t="shared" si="39"/>
        <v>3248.5</v>
      </c>
      <c r="X29" s="40">
        <f t="shared" si="39"/>
        <v>3248.5</v>
      </c>
      <c r="Y29" s="40">
        <f t="shared" si="39"/>
        <v>3248.5</v>
      </c>
      <c r="Z29" s="40">
        <f t="shared" si="39"/>
        <v>3248.5</v>
      </c>
      <c r="AA29" s="40">
        <f t="shared" si="39"/>
        <v>3248.5</v>
      </c>
      <c r="AB29" s="40">
        <f t="shared" si="39"/>
        <v>248.5</v>
      </c>
      <c r="AC29" s="47">
        <f>SUM(AC20:AC28)</f>
        <v>32982</v>
      </c>
      <c r="AD29" s="40">
        <f t="shared" ref="AD29:AO29" si="40">SUM(AD20:AD28)</f>
        <v>3248.5</v>
      </c>
      <c r="AE29" s="40">
        <f t="shared" si="40"/>
        <v>3248.5</v>
      </c>
      <c r="AF29" s="40">
        <f t="shared" si="40"/>
        <v>3248.5</v>
      </c>
      <c r="AG29" s="40">
        <f t="shared" si="40"/>
        <v>3248.5</v>
      </c>
      <c r="AH29" s="40">
        <f t="shared" si="40"/>
        <v>3248.5</v>
      </c>
      <c r="AI29" s="40">
        <f t="shared" si="40"/>
        <v>3248.5</v>
      </c>
      <c r="AJ29" s="40">
        <f t="shared" si="40"/>
        <v>3248.5</v>
      </c>
      <c r="AK29" s="40">
        <f t="shared" si="40"/>
        <v>3248.5</v>
      </c>
      <c r="AL29" s="40">
        <f t="shared" si="40"/>
        <v>3248.5</v>
      </c>
      <c r="AM29" s="40">
        <f t="shared" si="40"/>
        <v>3248.5</v>
      </c>
      <c r="AN29" s="40">
        <f t="shared" si="40"/>
        <v>3248.5</v>
      </c>
      <c r="AO29" s="40">
        <f t="shared" si="40"/>
        <v>3248.5</v>
      </c>
      <c r="AP29" s="47">
        <f>SUM(AP20:AP28)</f>
        <v>38982</v>
      </c>
    </row>
    <row r="30" spans="1:42" ht="15.75" customHeight="1">
      <c r="A30" s="15"/>
      <c r="B30" s="48"/>
      <c r="C30" s="49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>
        <f>SUM(D30:O30)</f>
        <v>0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2">
        <f>SUM(Q30:AB30)</f>
        <v>0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2">
        <f>SUM(AD30:AO30)</f>
        <v>0</v>
      </c>
    </row>
    <row r="31" spans="1:42" ht="15.75" customHeight="1">
      <c r="A31" s="40" t="s">
        <v>33</v>
      </c>
      <c r="B31" s="9"/>
      <c r="C31" s="4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44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5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5"/>
    </row>
    <row r="32" spans="1:42" ht="15.75" customHeight="1">
      <c r="A32" s="8" t="s">
        <v>34</v>
      </c>
      <c r="B32" s="54">
        <v>100</v>
      </c>
      <c r="C32" s="42"/>
      <c r="D32" s="53">
        <f t="shared" ref="D32:O32" si="41">D20*$B$32</f>
        <v>300000</v>
      </c>
      <c r="E32" s="53">
        <f t="shared" si="41"/>
        <v>300000</v>
      </c>
      <c r="F32" s="53">
        <f t="shared" si="41"/>
        <v>300000</v>
      </c>
      <c r="G32" s="53">
        <f t="shared" si="41"/>
        <v>300000</v>
      </c>
      <c r="H32" s="53">
        <f t="shared" si="41"/>
        <v>300000</v>
      </c>
      <c r="I32" s="53">
        <f t="shared" si="41"/>
        <v>300000</v>
      </c>
      <c r="J32" s="53">
        <f t="shared" si="41"/>
        <v>300000</v>
      </c>
      <c r="K32" s="53">
        <f t="shared" si="41"/>
        <v>300000</v>
      </c>
      <c r="L32" s="53">
        <f t="shared" si="41"/>
        <v>300000</v>
      </c>
      <c r="M32" s="53">
        <f t="shared" si="41"/>
        <v>300000</v>
      </c>
      <c r="N32" s="53">
        <f t="shared" si="41"/>
        <v>300000</v>
      </c>
      <c r="O32" s="53">
        <f t="shared" si="41"/>
        <v>300000</v>
      </c>
      <c r="P32" s="44">
        <f>SUM(D32:O32)</f>
        <v>3600000</v>
      </c>
      <c r="Q32" s="53">
        <f t="shared" ref="Q32:AB32" si="42">Q20*$B$32</f>
        <v>300000</v>
      </c>
      <c r="R32" s="53">
        <f t="shared" si="42"/>
        <v>300000</v>
      </c>
      <c r="S32" s="53">
        <f t="shared" si="42"/>
        <v>300000</v>
      </c>
      <c r="T32" s="53">
        <f t="shared" si="42"/>
        <v>300000</v>
      </c>
      <c r="U32" s="53">
        <f t="shared" si="42"/>
        <v>300000</v>
      </c>
      <c r="V32" s="53">
        <f t="shared" si="42"/>
        <v>0</v>
      </c>
      <c r="W32" s="53">
        <f t="shared" si="42"/>
        <v>300000</v>
      </c>
      <c r="X32" s="53">
        <f t="shared" si="42"/>
        <v>300000</v>
      </c>
      <c r="Y32" s="53">
        <f t="shared" si="42"/>
        <v>300000</v>
      </c>
      <c r="Z32" s="53">
        <f t="shared" si="42"/>
        <v>300000</v>
      </c>
      <c r="AA32" s="53">
        <f t="shared" si="42"/>
        <v>300000</v>
      </c>
      <c r="AB32" s="53">
        <f t="shared" si="42"/>
        <v>0</v>
      </c>
      <c r="AC32" s="45">
        <f>SUM(Q32:AB32)</f>
        <v>3000000</v>
      </c>
      <c r="AD32" s="53">
        <f t="shared" ref="AD32:AO32" si="43">AD20*$B$32</f>
        <v>300000</v>
      </c>
      <c r="AE32" s="53">
        <f t="shared" si="43"/>
        <v>300000</v>
      </c>
      <c r="AF32" s="53">
        <f t="shared" si="43"/>
        <v>300000</v>
      </c>
      <c r="AG32" s="53">
        <f t="shared" si="43"/>
        <v>300000</v>
      </c>
      <c r="AH32" s="53">
        <f t="shared" si="43"/>
        <v>300000</v>
      </c>
      <c r="AI32" s="53">
        <f t="shared" si="43"/>
        <v>300000</v>
      </c>
      <c r="AJ32" s="53">
        <f t="shared" si="43"/>
        <v>300000</v>
      </c>
      <c r="AK32" s="53">
        <f t="shared" si="43"/>
        <v>300000</v>
      </c>
      <c r="AL32" s="53">
        <f t="shared" si="43"/>
        <v>300000</v>
      </c>
      <c r="AM32" s="53">
        <f t="shared" si="43"/>
        <v>300000</v>
      </c>
      <c r="AN32" s="53">
        <f t="shared" si="43"/>
        <v>300000</v>
      </c>
      <c r="AO32" s="53">
        <f t="shared" si="43"/>
        <v>300000</v>
      </c>
      <c r="AP32" s="45">
        <f>SUM(AD32:AO32)</f>
        <v>3600000</v>
      </c>
    </row>
    <row r="33" spans="1:42" ht="15.75" customHeight="1">
      <c r="A33" s="8" t="s">
        <v>20</v>
      </c>
      <c r="B33" s="54">
        <v>500</v>
      </c>
      <c r="C33" s="42"/>
      <c r="D33" s="53">
        <f t="shared" ref="D33:O33" si="44">D21*$B$32</f>
        <v>4800</v>
      </c>
      <c r="E33" s="53">
        <f t="shared" si="44"/>
        <v>7200</v>
      </c>
      <c r="F33" s="53">
        <f t="shared" si="44"/>
        <v>9600</v>
      </c>
      <c r="G33" s="53">
        <f t="shared" si="44"/>
        <v>12000</v>
      </c>
      <c r="H33" s="53">
        <f t="shared" si="44"/>
        <v>12000</v>
      </c>
      <c r="I33" s="53">
        <f t="shared" si="44"/>
        <v>12000</v>
      </c>
      <c r="J33" s="53">
        <f t="shared" si="44"/>
        <v>14400</v>
      </c>
      <c r="K33" s="53">
        <f t="shared" si="44"/>
        <v>14400</v>
      </c>
      <c r="L33" s="53">
        <f t="shared" si="44"/>
        <v>16800</v>
      </c>
      <c r="M33" s="53">
        <f t="shared" si="44"/>
        <v>16800</v>
      </c>
      <c r="N33" s="53">
        <f t="shared" si="44"/>
        <v>16800</v>
      </c>
      <c r="O33" s="53">
        <f t="shared" si="44"/>
        <v>16800</v>
      </c>
      <c r="P33" s="44">
        <f>SUM(D33:O33)</f>
        <v>153600</v>
      </c>
      <c r="Q33" s="53">
        <f t="shared" ref="Q33:AB33" si="45">Q21*$B$32</f>
        <v>16800</v>
      </c>
      <c r="R33" s="53">
        <f t="shared" si="45"/>
        <v>16800</v>
      </c>
      <c r="S33" s="53">
        <f t="shared" si="45"/>
        <v>16800</v>
      </c>
      <c r="T33" s="53">
        <f t="shared" si="45"/>
        <v>16800</v>
      </c>
      <c r="U33" s="53">
        <f t="shared" si="45"/>
        <v>16800</v>
      </c>
      <c r="V33" s="53">
        <f t="shared" si="45"/>
        <v>16800</v>
      </c>
      <c r="W33" s="53">
        <f t="shared" si="45"/>
        <v>16800</v>
      </c>
      <c r="X33" s="53">
        <f t="shared" si="45"/>
        <v>16800</v>
      </c>
      <c r="Y33" s="53">
        <f t="shared" si="45"/>
        <v>16800</v>
      </c>
      <c r="Z33" s="53">
        <f t="shared" si="45"/>
        <v>16800</v>
      </c>
      <c r="AA33" s="53">
        <f t="shared" si="45"/>
        <v>16800</v>
      </c>
      <c r="AB33" s="53">
        <f t="shared" si="45"/>
        <v>16800</v>
      </c>
      <c r="AC33" s="45">
        <f>SUM(Q33:AB33)</f>
        <v>201600</v>
      </c>
      <c r="AD33" s="53">
        <f t="shared" ref="AD33:AO33" si="46">AD21*$B$32</f>
        <v>16800</v>
      </c>
      <c r="AE33" s="53">
        <f t="shared" si="46"/>
        <v>16800</v>
      </c>
      <c r="AF33" s="53">
        <f t="shared" si="46"/>
        <v>16800</v>
      </c>
      <c r="AG33" s="53">
        <f t="shared" si="46"/>
        <v>16800</v>
      </c>
      <c r="AH33" s="53">
        <f t="shared" si="46"/>
        <v>16800</v>
      </c>
      <c r="AI33" s="53">
        <f t="shared" si="46"/>
        <v>16800</v>
      </c>
      <c r="AJ33" s="53">
        <f t="shared" si="46"/>
        <v>16800</v>
      </c>
      <c r="AK33" s="53">
        <f t="shared" si="46"/>
        <v>16800</v>
      </c>
      <c r="AL33" s="53">
        <f t="shared" si="46"/>
        <v>16800</v>
      </c>
      <c r="AM33" s="53">
        <f t="shared" si="46"/>
        <v>16800</v>
      </c>
      <c r="AN33" s="53">
        <f t="shared" si="46"/>
        <v>16800</v>
      </c>
      <c r="AO33" s="53">
        <f t="shared" si="46"/>
        <v>16800</v>
      </c>
      <c r="AP33" s="45">
        <f>SUM(AD33:AO33)</f>
        <v>201600</v>
      </c>
    </row>
    <row r="34" spans="1:42" ht="15.75" customHeight="1">
      <c r="A34" s="8" t="s">
        <v>21</v>
      </c>
      <c r="B34" s="54">
        <v>130</v>
      </c>
      <c r="C34" s="42"/>
      <c r="D34" s="53">
        <f t="shared" ref="D34:O34" si="47">D22*$B$32</f>
        <v>300</v>
      </c>
      <c r="E34" s="53">
        <f t="shared" si="47"/>
        <v>450</v>
      </c>
      <c r="F34" s="53">
        <f t="shared" si="47"/>
        <v>600</v>
      </c>
      <c r="G34" s="53">
        <f t="shared" si="47"/>
        <v>750</v>
      </c>
      <c r="H34" s="53">
        <f t="shared" si="47"/>
        <v>750</v>
      </c>
      <c r="I34" s="53">
        <f t="shared" si="47"/>
        <v>750</v>
      </c>
      <c r="J34" s="53">
        <f t="shared" si="47"/>
        <v>900</v>
      </c>
      <c r="K34" s="53">
        <f t="shared" si="47"/>
        <v>900</v>
      </c>
      <c r="L34" s="53">
        <f t="shared" si="47"/>
        <v>1050</v>
      </c>
      <c r="M34" s="53">
        <f t="shared" si="47"/>
        <v>1050</v>
      </c>
      <c r="N34" s="53">
        <f t="shared" si="47"/>
        <v>1050</v>
      </c>
      <c r="O34" s="53">
        <f t="shared" si="47"/>
        <v>1050</v>
      </c>
      <c r="P34" s="44"/>
      <c r="Q34" s="53">
        <f t="shared" ref="Q34:AB34" si="48">Q22*$B$32</f>
        <v>1050</v>
      </c>
      <c r="R34" s="53">
        <f t="shared" si="48"/>
        <v>1050</v>
      </c>
      <c r="S34" s="53">
        <f t="shared" si="48"/>
        <v>1050</v>
      </c>
      <c r="T34" s="53">
        <f t="shared" si="48"/>
        <v>1050</v>
      </c>
      <c r="U34" s="53">
        <f t="shared" si="48"/>
        <v>1050</v>
      </c>
      <c r="V34" s="53">
        <f t="shared" si="48"/>
        <v>1050</v>
      </c>
      <c r="W34" s="53">
        <f t="shared" si="48"/>
        <v>1050</v>
      </c>
      <c r="X34" s="53">
        <f t="shared" si="48"/>
        <v>1050</v>
      </c>
      <c r="Y34" s="53">
        <f t="shared" si="48"/>
        <v>1050</v>
      </c>
      <c r="Z34" s="53">
        <f t="shared" si="48"/>
        <v>1050</v>
      </c>
      <c r="AA34" s="53">
        <f t="shared" si="48"/>
        <v>1050</v>
      </c>
      <c r="AB34" s="53">
        <f t="shared" si="48"/>
        <v>1050</v>
      </c>
      <c r="AC34" s="45"/>
      <c r="AD34" s="53">
        <f t="shared" ref="AD34:AO34" si="49">AD22*$B$32</f>
        <v>1050</v>
      </c>
      <c r="AE34" s="53">
        <f t="shared" si="49"/>
        <v>1050</v>
      </c>
      <c r="AF34" s="53">
        <f t="shared" si="49"/>
        <v>1050</v>
      </c>
      <c r="AG34" s="53">
        <f t="shared" si="49"/>
        <v>1050</v>
      </c>
      <c r="AH34" s="53">
        <f t="shared" si="49"/>
        <v>1050</v>
      </c>
      <c r="AI34" s="53">
        <f t="shared" si="49"/>
        <v>1050</v>
      </c>
      <c r="AJ34" s="53">
        <f t="shared" si="49"/>
        <v>1050</v>
      </c>
      <c r="AK34" s="53">
        <f t="shared" si="49"/>
        <v>1050</v>
      </c>
      <c r="AL34" s="53">
        <f t="shared" si="49"/>
        <v>1050</v>
      </c>
      <c r="AM34" s="53">
        <f t="shared" si="49"/>
        <v>1050</v>
      </c>
      <c r="AN34" s="53">
        <f t="shared" si="49"/>
        <v>1050</v>
      </c>
      <c r="AO34" s="53">
        <f t="shared" si="49"/>
        <v>1050</v>
      </c>
      <c r="AP34" s="45"/>
    </row>
    <row r="35" spans="1:42" ht="15.75" customHeight="1">
      <c r="A35" s="8" t="s">
        <v>22</v>
      </c>
      <c r="B35" s="54">
        <v>195</v>
      </c>
      <c r="C35" s="42"/>
      <c r="D35" s="53">
        <f t="shared" ref="D35:O35" si="50">D23*$B$32</f>
        <v>2000</v>
      </c>
      <c r="E35" s="53">
        <f t="shared" si="50"/>
        <v>3000</v>
      </c>
      <c r="F35" s="53">
        <f t="shared" si="50"/>
        <v>4000</v>
      </c>
      <c r="G35" s="53">
        <f t="shared" si="50"/>
        <v>5000</v>
      </c>
      <c r="H35" s="53">
        <f t="shared" si="50"/>
        <v>5000</v>
      </c>
      <c r="I35" s="53">
        <f t="shared" si="50"/>
        <v>5000</v>
      </c>
      <c r="J35" s="53">
        <f t="shared" si="50"/>
        <v>6000</v>
      </c>
      <c r="K35" s="53">
        <f t="shared" si="50"/>
        <v>6000</v>
      </c>
      <c r="L35" s="53">
        <f t="shared" si="50"/>
        <v>7000</v>
      </c>
      <c r="M35" s="53">
        <f t="shared" si="50"/>
        <v>7000</v>
      </c>
      <c r="N35" s="53">
        <f t="shared" si="50"/>
        <v>7000</v>
      </c>
      <c r="O35" s="53">
        <f t="shared" si="50"/>
        <v>7000</v>
      </c>
      <c r="P35" s="44"/>
      <c r="Q35" s="53">
        <f t="shared" ref="Q35:AB35" si="51">Q23*$B$32</f>
        <v>7000</v>
      </c>
      <c r="R35" s="53">
        <f t="shared" si="51"/>
        <v>7000</v>
      </c>
      <c r="S35" s="53">
        <f t="shared" si="51"/>
        <v>7000</v>
      </c>
      <c r="T35" s="53">
        <f t="shared" si="51"/>
        <v>7000</v>
      </c>
      <c r="U35" s="53">
        <f t="shared" si="51"/>
        <v>7000</v>
      </c>
      <c r="V35" s="53">
        <f t="shared" si="51"/>
        <v>7000</v>
      </c>
      <c r="W35" s="53">
        <f t="shared" si="51"/>
        <v>7000</v>
      </c>
      <c r="X35" s="53">
        <f t="shared" si="51"/>
        <v>7000</v>
      </c>
      <c r="Y35" s="53">
        <f t="shared" si="51"/>
        <v>7000</v>
      </c>
      <c r="Z35" s="53">
        <f t="shared" si="51"/>
        <v>7000</v>
      </c>
      <c r="AA35" s="53">
        <f t="shared" si="51"/>
        <v>7000</v>
      </c>
      <c r="AB35" s="53">
        <f t="shared" si="51"/>
        <v>7000</v>
      </c>
      <c r="AC35" s="45"/>
      <c r="AD35" s="53">
        <f t="shared" ref="AD35:AO35" si="52">AD23*$B$32</f>
        <v>7000</v>
      </c>
      <c r="AE35" s="53">
        <f t="shared" si="52"/>
        <v>7000</v>
      </c>
      <c r="AF35" s="53">
        <f t="shared" si="52"/>
        <v>7000</v>
      </c>
      <c r="AG35" s="53">
        <f t="shared" si="52"/>
        <v>7000</v>
      </c>
      <c r="AH35" s="53">
        <f t="shared" si="52"/>
        <v>7000</v>
      </c>
      <c r="AI35" s="53">
        <f t="shared" si="52"/>
        <v>7000</v>
      </c>
      <c r="AJ35" s="53">
        <f t="shared" si="52"/>
        <v>7000</v>
      </c>
      <c r="AK35" s="53">
        <f t="shared" si="52"/>
        <v>7000</v>
      </c>
      <c r="AL35" s="53">
        <f t="shared" si="52"/>
        <v>7000</v>
      </c>
      <c r="AM35" s="53">
        <f t="shared" si="52"/>
        <v>7000</v>
      </c>
      <c r="AN35" s="53">
        <f t="shared" si="52"/>
        <v>7000</v>
      </c>
      <c r="AO35" s="53">
        <f t="shared" si="52"/>
        <v>7000</v>
      </c>
      <c r="AP35" s="45"/>
    </row>
    <row r="36" spans="1:42" ht="15.75" customHeight="1">
      <c r="A36" s="8" t="s">
        <v>23</v>
      </c>
      <c r="B36" s="55">
        <v>169</v>
      </c>
      <c r="C36" s="42"/>
      <c r="D36" s="53">
        <f t="shared" ref="D36:O36" si="53">D24*$B$32</f>
        <v>0</v>
      </c>
      <c r="E36" s="53">
        <f t="shared" si="53"/>
        <v>0</v>
      </c>
      <c r="F36" s="53">
        <f t="shared" si="53"/>
        <v>0</v>
      </c>
      <c r="G36" s="53">
        <f t="shared" si="53"/>
        <v>0</v>
      </c>
      <c r="H36" s="53">
        <f t="shared" si="53"/>
        <v>0</v>
      </c>
      <c r="I36" s="53">
        <f t="shared" si="53"/>
        <v>0</v>
      </c>
      <c r="J36" s="53">
        <f t="shared" si="53"/>
        <v>0</v>
      </c>
      <c r="K36" s="53">
        <f t="shared" si="53"/>
        <v>0</v>
      </c>
      <c r="L36" s="53">
        <f t="shared" si="53"/>
        <v>0</v>
      </c>
      <c r="M36" s="53">
        <f t="shared" si="53"/>
        <v>0</v>
      </c>
      <c r="N36" s="53">
        <f t="shared" si="53"/>
        <v>0</v>
      </c>
      <c r="O36" s="53">
        <f t="shared" si="53"/>
        <v>0</v>
      </c>
      <c r="P36" s="44"/>
      <c r="Q36" s="53">
        <f t="shared" ref="Q36:AB36" si="54">Q24*$B$32</f>
        <v>0</v>
      </c>
      <c r="R36" s="53">
        <f t="shared" si="54"/>
        <v>0</v>
      </c>
      <c r="S36" s="53">
        <f t="shared" si="54"/>
        <v>0</v>
      </c>
      <c r="T36" s="53">
        <f t="shared" si="54"/>
        <v>0</v>
      </c>
      <c r="U36" s="53">
        <f t="shared" si="54"/>
        <v>0</v>
      </c>
      <c r="V36" s="53">
        <f t="shared" si="54"/>
        <v>0</v>
      </c>
      <c r="W36" s="53">
        <f t="shared" si="54"/>
        <v>0</v>
      </c>
      <c r="X36" s="53">
        <f t="shared" si="54"/>
        <v>0</v>
      </c>
      <c r="Y36" s="53">
        <f t="shared" si="54"/>
        <v>0</v>
      </c>
      <c r="Z36" s="53">
        <f t="shared" si="54"/>
        <v>0</v>
      </c>
      <c r="AA36" s="53">
        <f t="shared" si="54"/>
        <v>0</v>
      </c>
      <c r="AB36" s="53">
        <f t="shared" si="54"/>
        <v>0</v>
      </c>
      <c r="AC36" s="45"/>
      <c r="AD36" s="53">
        <f t="shared" ref="AD36:AO36" si="55">AD24*$B$32</f>
        <v>0</v>
      </c>
      <c r="AE36" s="53">
        <f t="shared" si="55"/>
        <v>0</v>
      </c>
      <c r="AF36" s="53">
        <f t="shared" si="55"/>
        <v>0</v>
      </c>
      <c r="AG36" s="53">
        <f t="shared" si="55"/>
        <v>0</v>
      </c>
      <c r="AH36" s="53">
        <f t="shared" si="55"/>
        <v>0</v>
      </c>
      <c r="AI36" s="53">
        <f t="shared" si="55"/>
        <v>0</v>
      </c>
      <c r="AJ36" s="53">
        <f t="shared" si="55"/>
        <v>0</v>
      </c>
      <c r="AK36" s="53">
        <f t="shared" si="55"/>
        <v>0</v>
      </c>
      <c r="AL36" s="53">
        <f t="shared" si="55"/>
        <v>0</v>
      </c>
      <c r="AM36" s="53">
        <f t="shared" si="55"/>
        <v>0</v>
      </c>
      <c r="AN36" s="53">
        <f t="shared" si="55"/>
        <v>0</v>
      </c>
      <c r="AO36" s="53">
        <f t="shared" si="55"/>
        <v>0</v>
      </c>
      <c r="AP36" s="45"/>
    </row>
    <row r="37" spans="1:42" ht="15.75" customHeight="1">
      <c r="A37" s="8" t="s">
        <v>24</v>
      </c>
      <c r="B37" s="56">
        <v>254</v>
      </c>
      <c r="C37" s="36"/>
      <c r="D37" s="53">
        <f t="shared" ref="D37:O37" si="56">D25*$B$32</f>
        <v>0</v>
      </c>
      <c r="E37" s="53">
        <f t="shared" si="56"/>
        <v>0</v>
      </c>
      <c r="F37" s="53">
        <f t="shared" si="56"/>
        <v>0</v>
      </c>
      <c r="G37" s="53">
        <f t="shared" si="56"/>
        <v>0</v>
      </c>
      <c r="H37" s="53">
        <f t="shared" si="56"/>
        <v>0</v>
      </c>
      <c r="I37" s="53">
        <f t="shared" si="56"/>
        <v>0</v>
      </c>
      <c r="J37" s="53">
        <f t="shared" si="56"/>
        <v>0</v>
      </c>
      <c r="K37" s="53">
        <f t="shared" si="56"/>
        <v>0</v>
      </c>
      <c r="L37" s="53">
        <f t="shared" si="56"/>
        <v>0</v>
      </c>
      <c r="M37" s="53">
        <f t="shared" si="56"/>
        <v>0</v>
      </c>
      <c r="N37" s="53">
        <f t="shared" si="56"/>
        <v>0</v>
      </c>
      <c r="O37" s="53">
        <f t="shared" si="56"/>
        <v>0</v>
      </c>
      <c r="P37" s="44"/>
      <c r="Q37" s="53">
        <f t="shared" ref="Q37:AB37" si="57">Q25*$B$32</f>
        <v>0</v>
      </c>
      <c r="R37" s="53">
        <f t="shared" si="57"/>
        <v>0</v>
      </c>
      <c r="S37" s="53">
        <f t="shared" si="57"/>
        <v>0</v>
      </c>
      <c r="T37" s="53">
        <f t="shared" si="57"/>
        <v>0</v>
      </c>
      <c r="U37" s="53">
        <f t="shared" si="57"/>
        <v>0</v>
      </c>
      <c r="V37" s="53">
        <f t="shared" si="57"/>
        <v>0</v>
      </c>
      <c r="W37" s="53">
        <f t="shared" si="57"/>
        <v>0</v>
      </c>
      <c r="X37" s="53">
        <f t="shared" si="57"/>
        <v>0</v>
      </c>
      <c r="Y37" s="53">
        <f t="shared" si="57"/>
        <v>0</v>
      </c>
      <c r="Z37" s="53">
        <f t="shared" si="57"/>
        <v>0</v>
      </c>
      <c r="AA37" s="53">
        <f t="shared" si="57"/>
        <v>0</v>
      </c>
      <c r="AB37" s="53">
        <f t="shared" si="57"/>
        <v>0</v>
      </c>
      <c r="AC37" s="45"/>
      <c r="AD37" s="53">
        <f t="shared" ref="AD37:AO37" si="58">AD25*$B$32</f>
        <v>0</v>
      </c>
      <c r="AE37" s="53">
        <f t="shared" si="58"/>
        <v>0</v>
      </c>
      <c r="AF37" s="53">
        <f t="shared" si="58"/>
        <v>0</v>
      </c>
      <c r="AG37" s="53">
        <f t="shared" si="58"/>
        <v>0</v>
      </c>
      <c r="AH37" s="53">
        <f t="shared" si="58"/>
        <v>0</v>
      </c>
      <c r="AI37" s="53">
        <f t="shared" si="58"/>
        <v>0</v>
      </c>
      <c r="AJ37" s="53">
        <f t="shared" si="58"/>
        <v>0</v>
      </c>
      <c r="AK37" s="53">
        <f t="shared" si="58"/>
        <v>0</v>
      </c>
      <c r="AL37" s="53">
        <f t="shared" si="58"/>
        <v>0</v>
      </c>
      <c r="AM37" s="53">
        <f t="shared" si="58"/>
        <v>0</v>
      </c>
      <c r="AN37" s="53">
        <f t="shared" si="58"/>
        <v>0</v>
      </c>
      <c r="AO37" s="53">
        <f t="shared" si="58"/>
        <v>0</v>
      </c>
      <c r="AP37" s="45"/>
    </row>
    <row r="38" spans="1:42" ht="15.75" customHeight="1">
      <c r="A38" s="8" t="s">
        <v>25</v>
      </c>
      <c r="B38" s="57"/>
      <c r="C38" s="36"/>
      <c r="D38" s="53">
        <f t="shared" ref="D38:O38" si="59">D26*$B$32</f>
        <v>0</v>
      </c>
      <c r="E38" s="53">
        <f t="shared" si="59"/>
        <v>0</v>
      </c>
      <c r="F38" s="53">
        <f t="shared" si="59"/>
        <v>0</v>
      </c>
      <c r="G38" s="53">
        <f t="shared" si="59"/>
        <v>0</v>
      </c>
      <c r="H38" s="53">
        <f t="shared" si="59"/>
        <v>0</v>
      </c>
      <c r="I38" s="53">
        <f t="shared" si="59"/>
        <v>0</v>
      </c>
      <c r="J38" s="53">
        <f t="shared" si="59"/>
        <v>0</v>
      </c>
      <c r="K38" s="53">
        <f t="shared" si="59"/>
        <v>0</v>
      </c>
      <c r="L38" s="53">
        <f t="shared" si="59"/>
        <v>0</v>
      </c>
      <c r="M38" s="53">
        <f t="shared" si="59"/>
        <v>0</v>
      </c>
      <c r="N38" s="53">
        <f t="shared" si="59"/>
        <v>0</v>
      </c>
      <c r="O38" s="53">
        <f t="shared" si="59"/>
        <v>0</v>
      </c>
      <c r="P38" s="44"/>
      <c r="Q38" s="53">
        <f t="shared" ref="Q38:AB38" si="60">Q26*$B$32</f>
        <v>0</v>
      </c>
      <c r="R38" s="53">
        <f t="shared" si="60"/>
        <v>0</v>
      </c>
      <c r="S38" s="53">
        <f t="shared" si="60"/>
        <v>0</v>
      </c>
      <c r="T38" s="53">
        <f t="shared" si="60"/>
        <v>0</v>
      </c>
      <c r="U38" s="53">
        <f t="shared" si="60"/>
        <v>0</v>
      </c>
      <c r="V38" s="53">
        <f t="shared" si="60"/>
        <v>0</v>
      </c>
      <c r="W38" s="53">
        <f t="shared" si="60"/>
        <v>0</v>
      </c>
      <c r="X38" s="53">
        <f t="shared" si="60"/>
        <v>0</v>
      </c>
      <c r="Y38" s="53">
        <f t="shared" si="60"/>
        <v>0</v>
      </c>
      <c r="Z38" s="53">
        <f t="shared" si="60"/>
        <v>0</v>
      </c>
      <c r="AA38" s="53">
        <f t="shared" si="60"/>
        <v>0</v>
      </c>
      <c r="AB38" s="53">
        <f t="shared" si="60"/>
        <v>0</v>
      </c>
      <c r="AC38" s="45"/>
      <c r="AD38" s="53">
        <f t="shared" ref="AD38:AO38" si="61">AD26*$B$32</f>
        <v>0</v>
      </c>
      <c r="AE38" s="53">
        <f t="shared" si="61"/>
        <v>0</v>
      </c>
      <c r="AF38" s="53">
        <f t="shared" si="61"/>
        <v>0</v>
      </c>
      <c r="AG38" s="53">
        <f t="shared" si="61"/>
        <v>0</v>
      </c>
      <c r="AH38" s="53">
        <f t="shared" si="61"/>
        <v>0</v>
      </c>
      <c r="AI38" s="53">
        <f t="shared" si="61"/>
        <v>0</v>
      </c>
      <c r="AJ38" s="53">
        <f t="shared" si="61"/>
        <v>0</v>
      </c>
      <c r="AK38" s="53">
        <f t="shared" si="61"/>
        <v>0</v>
      </c>
      <c r="AL38" s="53">
        <f t="shared" si="61"/>
        <v>0</v>
      </c>
      <c r="AM38" s="53">
        <f t="shared" si="61"/>
        <v>0</v>
      </c>
      <c r="AN38" s="53">
        <f t="shared" si="61"/>
        <v>0</v>
      </c>
      <c r="AO38" s="53">
        <f t="shared" si="61"/>
        <v>0</v>
      </c>
      <c r="AP38" s="45"/>
    </row>
    <row r="39" spans="1:42" ht="15.75" customHeight="1">
      <c r="A39" s="8" t="s">
        <v>25</v>
      </c>
      <c r="B39" s="57"/>
      <c r="C39" s="36"/>
      <c r="D39" s="53">
        <f t="shared" ref="D39:O39" si="62">D27*$B$32</f>
        <v>0</v>
      </c>
      <c r="E39" s="53">
        <f t="shared" si="62"/>
        <v>0</v>
      </c>
      <c r="F39" s="53">
        <f t="shared" si="62"/>
        <v>0</v>
      </c>
      <c r="G39" s="53">
        <f t="shared" si="62"/>
        <v>0</v>
      </c>
      <c r="H39" s="53">
        <f t="shared" si="62"/>
        <v>0</v>
      </c>
      <c r="I39" s="53">
        <f t="shared" si="62"/>
        <v>0</v>
      </c>
      <c r="J39" s="53">
        <f t="shared" si="62"/>
        <v>0</v>
      </c>
      <c r="K39" s="53">
        <f t="shared" si="62"/>
        <v>0</v>
      </c>
      <c r="L39" s="53">
        <f t="shared" si="62"/>
        <v>0</v>
      </c>
      <c r="M39" s="53">
        <f t="shared" si="62"/>
        <v>0</v>
      </c>
      <c r="N39" s="53">
        <f t="shared" si="62"/>
        <v>0</v>
      </c>
      <c r="O39" s="53">
        <f t="shared" si="62"/>
        <v>0</v>
      </c>
      <c r="P39" s="44"/>
      <c r="Q39" s="53">
        <f t="shared" ref="Q39:AB39" si="63">Q27*$B$32</f>
        <v>0</v>
      </c>
      <c r="R39" s="53">
        <f t="shared" si="63"/>
        <v>0</v>
      </c>
      <c r="S39" s="53">
        <f t="shared" si="63"/>
        <v>0</v>
      </c>
      <c r="T39" s="53">
        <f t="shared" si="63"/>
        <v>0</v>
      </c>
      <c r="U39" s="53">
        <f t="shared" si="63"/>
        <v>0</v>
      </c>
      <c r="V39" s="53">
        <f t="shared" si="63"/>
        <v>0</v>
      </c>
      <c r="W39" s="53">
        <f t="shared" si="63"/>
        <v>0</v>
      </c>
      <c r="X39" s="53">
        <f t="shared" si="63"/>
        <v>0</v>
      </c>
      <c r="Y39" s="53">
        <f t="shared" si="63"/>
        <v>0</v>
      </c>
      <c r="Z39" s="53">
        <f t="shared" si="63"/>
        <v>0</v>
      </c>
      <c r="AA39" s="53">
        <f t="shared" si="63"/>
        <v>0</v>
      </c>
      <c r="AB39" s="53">
        <f t="shared" si="63"/>
        <v>0</v>
      </c>
      <c r="AC39" s="45"/>
      <c r="AD39" s="53">
        <f t="shared" ref="AD39:AO39" si="64">AD27*$B$32</f>
        <v>0</v>
      </c>
      <c r="AE39" s="53">
        <f t="shared" si="64"/>
        <v>0</v>
      </c>
      <c r="AF39" s="53">
        <f t="shared" si="64"/>
        <v>0</v>
      </c>
      <c r="AG39" s="53">
        <f t="shared" si="64"/>
        <v>0</v>
      </c>
      <c r="AH39" s="53">
        <f t="shared" si="64"/>
        <v>0</v>
      </c>
      <c r="AI39" s="53">
        <f t="shared" si="64"/>
        <v>0</v>
      </c>
      <c r="AJ39" s="53">
        <f t="shared" si="64"/>
        <v>0</v>
      </c>
      <c r="AK39" s="53">
        <f t="shared" si="64"/>
        <v>0</v>
      </c>
      <c r="AL39" s="53">
        <f t="shared" si="64"/>
        <v>0</v>
      </c>
      <c r="AM39" s="53">
        <f t="shared" si="64"/>
        <v>0</v>
      </c>
      <c r="AN39" s="53">
        <f t="shared" si="64"/>
        <v>0</v>
      </c>
      <c r="AO39" s="53">
        <f t="shared" si="64"/>
        <v>0</v>
      </c>
      <c r="AP39" s="45"/>
    </row>
    <row r="40" spans="1:42" ht="15.75" customHeight="1">
      <c r="A40" s="8" t="s">
        <v>25</v>
      </c>
      <c r="B40" s="57"/>
      <c r="C40" s="36"/>
      <c r="D40" s="53">
        <f t="shared" ref="D40:O40" si="65">D28*$B$32</f>
        <v>0</v>
      </c>
      <c r="E40" s="53">
        <f t="shared" si="65"/>
        <v>0</v>
      </c>
      <c r="F40" s="53">
        <f t="shared" si="65"/>
        <v>0</v>
      </c>
      <c r="G40" s="53">
        <f t="shared" si="65"/>
        <v>0</v>
      </c>
      <c r="H40" s="53">
        <f t="shared" si="65"/>
        <v>0</v>
      </c>
      <c r="I40" s="53">
        <f t="shared" si="65"/>
        <v>0</v>
      </c>
      <c r="J40" s="53">
        <f t="shared" si="65"/>
        <v>0</v>
      </c>
      <c r="K40" s="53">
        <f t="shared" si="65"/>
        <v>0</v>
      </c>
      <c r="L40" s="53">
        <f t="shared" si="65"/>
        <v>0</v>
      </c>
      <c r="M40" s="53">
        <f t="shared" si="65"/>
        <v>0</v>
      </c>
      <c r="N40" s="53">
        <f t="shared" si="65"/>
        <v>0</v>
      </c>
      <c r="O40" s="53">
        <f t="shared" si="65"/>
        <v>0</v>
      </c>
      <c r="P40" s="44"/>
      <c r="Q40" s="53">
        <f t="shared" ref="Q40:AB40" si="66">Q28*$B$32</f>
        <v>0</v>
      </c>
      <c r="R40" s="53">
        <f t="shared" si="66"/>
        <v>0</v>
      </c>
      <c r="S40" s="53">
        <f t="shared" si="66"/>
        <v>0</v>
      </c>
      <c r="T40" s="53">
        <f t="shared" si="66"/>
        <v>0</v>
      </c>
      <c r="U40" s="53">
        <f t="shared" si="66"/>
        <v>0</v>
      </c>
      <c r="V40" s="53">
        <f t="shared" si="66"/>
        <v>0</v>
      </c>
      <c r="W40" s="53">
        <f t="shared" si="66"/>
        <v>0</v>
      </c>
      <c r="X40" s="53">
        <f t="shared" si="66"/>
        <v>0</v>
      </c>
      <c r="Y40" s="53">
        <f t="shared" si="66"/>
        <v>0</v>
      </c>
      <c r="Z40" s="53">
        <f t="shared" si="66"/>
        <v>0</v>
      </c>
      <c r="AA40" s="53">
        <f t="shared" si="66"/>
        <v>0</v>
      </c>
      <c r="AB40" s="53">
        <f t="shared" si="66"/>
        <v>0</v>
      </c>
      <c r="AC40" s="45"/>
      <c r="AD40" s="53">
        <f t="shared" ref="AD40:AO40" si="67">AD28*$B$32</f>
        <v>0</v>
      </c>
      <c r="AE40" s="53">
        <f t="shared" si="67"/>
        <v>0</v>
      </c>
      <c r="AF40" s="53">
        <f t="shared" si="67"/>
        <v>0</v>
      </c>
      <c r="AG40" s="53">
        <f t="shared" si="67"/>
        <v>0</v>
      </c>
      <c r="AH40" s="53">
        <f t="shared" si="67"/>
        <v>0</v>
      </c>
      <c r="AI40" s="53">
        <f t="shared" si="67"/>
        <v>0</v>
      </c>
      <c r="AJ40" s="53">
        <f t="shared" si="67"/>
        <v>0</v>
      </c>
      <c r="AK40" s="53">
        <f t="shared" si="67"/>
        <v>0</v>
      </c>
      <c r="AL40" s="53">
        <f t="shared" si="67"/>
        <v>0</v>
      </c>
      <c r="AM40" s="53">
        <f t="shared" si="67"/>
        <v>0</v>
      </c>
      <c r="AN40" s="53">
        <f t="shared" si="67"/>
        <v>0</v>
      </c>
      <c r="AO40" s="53">
        <f t="shared" si="67"/>
        <v>0</v>
      </c>
      <c r="AP40" s="45"/>
    </row>
    <row r="41" spans="1:42" ht="15.75" customHeight="1">
      <c r="A41" s="58" t="s">
        <v>35</v>
      </c>
      <c r="B41" s="57"/>
      <c r="C41" s="36"/>
      <c r="D41" s="59">
        <f t="shared" ref="D41:O41" si="68">SUM(D32:D40)</f>
        <v>307100</v>
      </c>
      <c r="E41" s="59">
        <f t="shared" si="68"/>
        <v>310650</v>
      </c>
      <c r="F41" s="59">
        <f t="shared" si="68"/>
        <v>314200</v>
      </c>
      <c r="G41" s="59">
        <f t="shared" si="68"/>
        <v>317750</v>
      </c>
      <c r="H41" s="59">
        <f t="shared" si="68"/>
        <v>317750</v>
      </c>
      <c r="I41" s="59">
        <f t="shared" si="68"/>
        <v>317750</v>
      </c>
      <c r="J41" s="59">
        <f t="shared" si="68"/>
        <v>321300</v>
      </c>
      <c r="K41" s="59">
        <f t="shared" si="68"/>
        <v>321300</v>
      </c>
      <c r="L41" s="59">
        <f t="shared" si="68"/>
        <v>324850</v>
      </c>
      <c r="M41" s="59">
        <f t="shared" si="68"/>
        <v>324850</v>
      </c>
      <c r="N41" s="59">
        <f t="shared" si="68"/>
        <v>324850</v>
      </c>
      <c r="O41" s="59">
        <f t="shared" si="68"/>
        <v>324850</v>
      </c>
      <c r="P41" s="47">
        <f>SUM(D41:O41)</f>
        <v>3827200</v>
      </c>
      <c r="Q41" s="59">
        <f t="shared" ref="Q41:AB41" si="69">SUM(Q32:Q40)</f>
        <v>324850</v>
      </c>
      <c r="R41" s="59">
        <f t="shared" si="69"/>
        <v>324850</v>
      </c>
      <c r="S41" s="59">
        <f t="shared" si="69"/>
        <v>324850</v>
      </c>
      <c r="T41" s="59">
        <f t="shared" si="69"/>
        <v>324850</v>
      </c>
      <c r="U41" s="59">
        <f t="shared" si="69"/>
        <v>324850</v>
      </c>
      <c r="V41" s="59">
        <f t="shared" si="69"/>
        <v>24850</v>
      </c>
      <c r="W41" s="59">
        <f t="shared" si="69"/>
        <v>324850</v>
      </c>
      <c r="X41" s="59">
        <f t="shared" si="69"/>
        <v>324850</v>
      </c>
      <c r="Y41" s="59">
        <f t="shared" si="69"/>
        <v>324850</v>
      </c>
      <c r="Z41" s="59">
        <f t="shared" si="69"/>
        <v>324850</v>
      </c>
      <c r="AA41" s="59">
        <f t="shared" si="69"/>
        <v>324850</v>
      </c>
      <c r="AB41" s="59">
        <f t="shared" si="69"/>
        <v>24850</v>
      </c>
      <c r="AC41" s="45">
        <f>SUM(Q41:AB41)</f>
        <v>3298200</v>
      </c>
      <c r="AD41" s="59">
        <f t="shared" ref="AD41:AO41" si="70">SUM(AD32:AD40)</f>
        <v>324850</v>
      </c>
      <c r="AE41" s="59">
        <f t="shared" si="70"/>
        <v>324850</v>
      </c>
      <c r="AF41" s="59">
        <f t="shared" si="70"/>
        <v>324850</v>
      </c>
      <c r="AG41" s="59">
        <f t="shared" si="70"/>
        <v>324850</v>
      </c>
      <c r="AH41" s="59">
        <f t="shared" si="70"/>
        <v>324850</v>
      </c>
      <c r="AI41" s="59">
        <f t="shared" si="70"/>
        <v>324850</v>
      </c>
      <c r="AJ41" s="59">
        <f t="shared" si="70"/>
        <v>324850</v>
      </c>
      <c r="AK41" s="59">
        <f t="shared" si="70"/>
        <v>324850</v>
      </c>
      <c r="AL41" s="59">
        <f t="shared" si="70"/>
        <v>324850</v>
      </c>
      <c r="AM41" s="59">
        <f t="shared" si="70"/>
        <v>324850</v>
      </c>
      <c r="AN41" s="59">
        <f t="shared" si="70"/>
        <v>324850</v>
      </c>
      <c r="AO41" s="59">
        <f t="shared" si="70"/>
        <v>324850</v>
      </c>
      <c r="AP41" s="45">
        <f>SUM(AD41:AO41)</f>
        <v>3898200</v>
      </c>
    </row>
    <row r="42" spans="1:42" ht="15.75" customHeight="1">
      <c r="A42" s="15"/>
      <c r="B42" s="48"/>
      <c r="C42" s="4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32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33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33"/>
    </row>
    <row r="43" spans="1:42" ht="15.75" customHeight="1">
      <c r="A43" s="58" t="s">
        <v>36</v>
      </c>
      <c r="B43" s="35"/>
      <c r="C43" s="36"/>
      <c r="D43" s="61">
        <f>'Man Hours &amp; Costs'!C18</f>
        <v>20.8</v>
      </c>
      <c r="E43" s="61">
        <f>'Man Hours &amp; Costs'!D18</f>
        <v>20.8</v>
      </c>
      <c r="F43" s="61">
        <f>'Man Hours &amp; Costs'!E18</f>
        <v>20.8</v>
      </c>
      <c r="G43" s="61">
        <f>'Man Hours &amp; Costs'!F18</f>
        <v>20.8</v>
      </c>
      <c r="H43" s="61">
        <f>'Man Hours &amp; Costs'!G18</f>
        <v>20.8</v>
      </c>
      <c r="I43" s="61">
        <f>'Man Hours &amp; Costs'!H18</f>
        <v>20.8</v>
      </c>
      <c r="J43" s="61">
        <f>'Man Hours &amp; Costs'!I18</f>
        <v>20.8</v>
      </c>
      <c r="K43" s="61">
        <f>'Man Hours &amp; Costs'!J18</f>
        <v>20.8</v>
      </c>
      <c r="L43" s="61">
        <f>'Man Hours &amp; Costs'!K18</f>
        <v>20.8</v>
      </c>
      <c r="M43" s="61">
        <f>'Man Hours &amp; Costs'!L18</f>
        <v>20.8</v>
      </c>
      <c r="N43" s="61">
        <f>'Man Hours &amp; Costs'!M18</f>
        <v>20.8</v>
      </c>
      <c r="O43" s="61">
        <f>'Man Hours &amp; Costs'!N18</f>
        <v>20.8</v>
      </c>
      <c r="P43" s="62"/>
      <c r="Q43" s="61">
        <f>'Man Hours &amp; Costs'!P18</f>
        <v>24</v>
      </c>
      <c r="R43" s="61">
        <f>'Man Hours &amp; Costs'!Q18</f>
        <v>28.8</v>
      </c>
      <c r="S43" s="61">
        <f>'Man Hours &amp; Costs'!R18</f>
        <v>28.8</v>
      </c>
      <c r="T43" s="61">
        <f>'Man Hours &amp; Costs'!S18</f>
        <v>28.8</v>
      </c>
      <c r="U43" s="61">
        <f>'Man Hours &amp; Costs'!T18</f>
        <v>28.8</v>
      </c>
      <c r="V43" s="61">
        <f>'Man Hours &amp; Costs'!U18</f>
        <v>28.8</v>
      </c>
      <c r="W43" s="61">
        <f>'Man Hours &amp; Costs'!V18</f>
        <v>28.8</v>
      </c>
      <c r="X43" s="61">
        <f>'Man Hours &amp; Costs'!W18</f>
        <v>24</v>
      </c>
      <c r="Y43" s="61">
        <f>'Man Hours &amp; Costs'!X18</f>
        <v>24</v>
      </c>
      <c r="Z43" s="61">
        <f>'Man Hours &amp; Costs'!Y18</f>
        <v>24</v>
      </c>
      <c r="AA43" s="61">
        <f>'Man Hours &amp; Costs'!Z18</f>
        <v>24</v>
      </c>
      <c r="AB43" s="61">
        <f>'Man Hours &amp; Costs'!AA18</f>
        <v>24</v>
      </c>
      <c r="AC43" s="63"/>
      <c r="AD43" s="61">
        <f>'Man Hours &amp; Costs'!AC18</f>
        <v>24</v>
      </c>
      <c r="AE43" s="61">
        <f>'Man Hours &amp; Costs'!AD18</f>
        <v>24</v>
      </c>
      <c r="AF43" s="61">
        <f>'Man Hours &amp; Costs'!AE18</f>
        <v>24</v>
      </c>
      <c r="AG43" s="61">
        <f>'Man Hours &amp; Costs'!AF18</f>
        <v>24</v>
      </c>
      <c r="AH43" s="61">
        <f>'Man Hours &amp; Costs'!AG18</f>
        <v>24</v>
      </c>
      <c r="AI43" s="61">
        <f>'Man Hours &amp; Costs'!AH18</f>
        <v>24</v>
      </c>
      <c r="AJ43" s="61">
        <f>'Man Hours &amp; Costs'!AI18</f>
        <v>24</v>
      </c>
      <c r="AK43" s="61">
        <f>'Man Hours &amp; Costs'!AJ18</f>
        <v>24</v>
      </c>
      <c r="AL43" s="61">
        <f>'Man Hours &amp; Costs'!AK18</f>
        <v>24</v>
      </c>
      <c r="AM43" s="61">
        <f>'Man Hours &amp; Costs'!AL18</f>
        <v>24</v>
      </c>
      <c r="AN43" s="61">
        <f>'Man Hours &amp; Costs'!AM18</f>
        <v>24</v>
      </c>
      <c r="AO43" s="61">
        <f>'Man Hours &amp; Costs'!AN18</f>
        <v>24</v>
      </c>
      <c r="AP43" s="63"/>
    </row>
    <row r="44" spans="1:42" ht="15.75" customHeight="1">
      <c r="A44" s="8" t="s">
        <v>37</v>
      </c>
      <c r="B44" s="41"/>
      <c r="C44" s="42"/>
      <c r="D44" s="64">
        <f>'Man Hours &amp; Costs'!C20</f>
        <v>3260.1920000000009</v>
      </c>
      <c r="E44" s="64">
        <f>'Man Hours &amp; Costs'!D20</f>
        <v>3095.0400000000004</v>
      </c>
      <c r="F44" s="64">
        <f>'Man Hours &amp; Costs'!E20</f>
        <v>3590.496000000001</v>
      </c>
      <c r="G44" s="64">
        <f>'Man Hours &amp; Costs'!F20</f>
        <v>3095.0400000000004</v>
      </c>
      <c r="H44" s="64">
        <f>'Man Hours &amp; Costs'!G20</f>
        <v>3425.3440000000005</v>
      </c>
      <c r="I44" s="64">
        <f>'Man Hours &amp; Costs'!H20</f>
        <v>3425.3440000000005</v>
      </c>
      <c r="J44" s="64">
        <f>'Man Hours &amp; Costs'!I20</f>
        <v>3095.0400000000004</v>
      </c>
      <c r="K44" s="64">
        <f>'Man Hours &amp; Costs'!J20</f>
        <v>3590.496000000001</v>
      </c>
      <c r="L44" s="64">
        <f>'Man Hours &amp; Costs'!K20</f>
        <v>3095.0400000000004</v>
      </c>
      <c r="M44" s="64">
        <f>'Man Hours &amp; Costs'!L20</f>
        <v>3425.3440000000005</v>
      </c>
      <c r="N44" s="64">
        <f>'Man Hours &amp; Costs'!M20</f>
        <v>3095.0400000000004</v>
      </c>
      <c r="O44" s="64">
        <f>'Man Hours &amp; Costs'!N20</f>
        <v>2434.4320000000007</v>
      </c>
      <c r="P44" s="44">
        <f>SUM(D44:O44)</f>
        <v>38626.848000000005</v>
      </c>
      <c r="Q44" s="64">
        <f>'Man Hours &amp; Costs'!P20</f>
        <v>3761.76</v>
      </c>
      <c r="R44" s="64">
        <f>'Man Hours &amp; Costs'!Q20</f>
        <v>4285.4400000000005</v>
      </c>
      <c r="S44" s="64">
        <f>'Man Hours &amp; Costs'!R20</f>
        <v>4971.4560000000001</v>
      </c>
      <c r="T44" s="64">
        <f>'Man Hours &amp; Costs'!S20</f>
        <v>4285.4400000000005</v>
      </c>
      <c r="U44" s="64">
        <f>'Man Hours &amp; Costs'!T20</f>
        <v>4742.7839999999997</v>
      </c>
      <c r="V44" s="64">
        <f>'Man Hours &amp; Costs'!U20</f>
        <v>4742.7839999999997</v>
      </c>
      <c r="W44" s="64">
        <f>'Man Hours &amp; Costs'!V20</f>
        <v>4285.4400000000005</v>
      </c>
      <c r="X44" s="64">
        <f>'Man Hours &amp; Costs'!W20</f>
        <v>4142.88</v>
      </c>
      <c r="Y44" s="64">
        <f>'Man Hours &amp; Costs'!X20</f>
        <v>3571.2000000000003</v>
      </c>
      <c r="Z44" s="64">
        <f>'Man Hours &amp; Costs'!Y20</f>
        <v>3952.3199999999997</v>
      </c>
      <c r="AA44" s="64">
        <f>'Man Hours &amp; Costs'!Z20</f>
        <v>3571.2000000000003</v>
      </c>
      <c r="AB44" s="64">
        <f>'Man Hours &amp; Costs'!AA20</f>
        <v>2808.96</v>
      </c>
      <c r="AC44" s="45">
        <f>SUM(Q44:AB44)</f>
        <v>49121.66399999999</v>
      </c>
      <c r="AD44" s="64">
        <f>'Man Hours &amp; Costs'!AC20</f>
        <v>3761.76</v>
      </c>
      <c r="AE44" s="64">
        <f>'Man Hours &amp; Costs'!AD20</f>
        <v>3571.2000000000003</v>
      </c>
      <c r="AF44" s="64">
        <f>'Man Hours &amp; Costs'!AE20</f>
        <v>4142.88</v>
      </c>
      <c r="AG44" s="64">
        <f>'Man Hours &amp; Costs'!AF20</f>
        <v>3571.2000000000003</v>
      </c>
      <c r="AH44" s="64">
        <f>'Man Hours &amp; Costs'!AG20</f>
        <v>3952.3199999999997</v>
      </c>
      <c r="AI44" s="64">
        <f>'Man Hours &amp; Costs'!AH20</f>
        <v>3952.3199999999997</v>
      </c>
      <c r="AJ44" s="64">
        <f>'Man Hours &amp; Costs'!AI20</f>
        <v>3571.2000000000003</v>
      </c>
      <c r="AK44" s="64">
        <f>'Man Hours &amp; Costs'!AJ20</f>
        <v>4142.88</v>
      </c>
      <c r="AL44" s="64">
        <f>'Man Hours &amp; Costs'!AK20</f>
        <v>3571.2000000000003</v>
      </c>
      <c r="AM44" s="64">
        <f>'Man Hours &amp; Costs'!AL20</f>
        <v>3952.3199999999997</v>
      </c>
      <c r="AN44" s="64">
        <f>'Man Hours &amp; Costs'!AM20</f>
        <v>3571.2000000000003</v>
      </c>
      <c r="AO44" s="64">
        <f>'Man Hours &amp; Costs'!AN20</f>
        <v>2808.96</v>
      </c>
      <c r="AP44" s="45">
        <f>SUM(AD44:AO44)</f>
        <v>44569.439999999995</v>
      </c>
    </row>
    <row r="45" spans="1:42" ht="15.75" customHeight="1">
      <c r="A45" s="8" t="s">
        <v>38</v>
      </c>
      <c r="B45" s="41"/>
      <c r="C45" s="42"/>
      <c r="D45" s="64">
        <f t="shared" ref="D45:AP45" si="71">D44-D29</f>
        <v>189.19200000000092</v>
      </c>
      <c r="E45" s="64">
        <f t="shared" si="71"/>
        <v>-11.459999999999582</v>
      </c>
      <c r="F45" s="64">
        <f t="shared" si="71"/>
        <v>448.496000000001</v>
      </c>
      <c r="G45" s="64">
        <f t="shared" si="71"/>
        <v>-82.459999999999582</v>
      </c>
      <c r="H45" s="64">
        <f t="shared" si="71"/>
        <v>247.84400000000051</v>
      </c>
      <c r="I45" s="64">
        <f t="shared" si="71"/>
        <v>247.84400000000051</v>
      </c>
      <c r="J45" s="64">
        <f t="shared" si="71"/>
        <v>-117.95999999999958</v>
      </c>
      <c r="K45" s="64">
        <f t="shared" si="71"/>
        <v>377.496000000001</v>
      </c>
      <c r="L45" s="64">
        <f t="shared" si="71"/>
        <v>-153.45999999999958</v>
      </c>
      <c r="M45" s="64">
        <f t="shared" si="71"/>
        <v>176.84400000000051</v>
      </c>
      <c r="N45" s="64">
        <f t="shared" si="71"/>
        <v>-153.45999999999958</v>
      </c>
      <c r="O45" s="64">
        <f t="shared" si="71"/>
        <v>-814.0679999999993</v>
      </c>
      <c r="P45" s="44">
        <f t="shared" si="71"/>
        <v>354.84800000000541</v>
      </c>
      <c r="Q45" s="64">
        <f t="shared" si="71"/>
        <v>513.26000000000022</v>
      </c>
      <c r="R45" s="64">
        <f t="shared" si="71"/>
        <v>1036.9400000000005</v>
      </c>
      <c r="S45" s="64">
        <f t="shared" si="71"/>
        <v>1722.9560000000001</v>
      </c>
      <c r="T45" s="64">
        <f t="shared" si="71"/>
        <v>1036.9400000000005</v>
      </c>
      <c r="U45" s="64">
        <f t="shared" si="71"/>
        <v>1494.2839999999997</v>
      </c>
      <c r="V45" s="64">
        <f t="shared" si="71"/>
        <v>4494.2839999999997</v>
      </c>
      <c r="W45" s="64">
        <f t="shared" si="71"/>
        <v>1036.9400000000005</v>
      </c>
      <c r="X45" s="64">
        <f t="shared" si="71"/>
        <v>894.38000000000011</v>
      </c>
      <c r="Y45" s="64">
        <f t="shared" si="71"/>
        <v>322.70000000000027</v>
      </c>
      <c r="Z45" s="64">
        <f t="shared" si="71"/>
        <v>703.81999999999971</v>
      </c>
      <c r="AA45" s="64">
        <f t="shared" si="71"/>
        <v>322.70000000000027</v>
      </c>
      <c r="AB45" s="64">
        <f t="shared" si="71"/>
        <v>2560.46</v>
      </c>
      <c r="AC45" s="44">
        <f t="shared" si="71"/>
        <v>16139.66399999999</v>
      </c>
      <c r="AD45" s="64">
        <f t="shared" si="71"/>
        <v>513.26000000000022</v>
      </c>
      <c r="AE45" s="64">
        <f t="shared" si="71"/>
        <v>322.70000000000027</v>
      </c>
      <c r="AF45" s="64">
        <f t="shared" si="71"/>
        <v>894.38000000000011</v>
      </c>
      <c r="AG45" s="64">
        <f t="shared" si="71"/>
        <v>322.70000000000027</v>
      </c>
      <c r="AH45" s="64">
        <f t="shared" si="71"/>
        <v>703.81999999999971</v>
      </c>
      <c r="AI45" s="64">
        <f t="shared" si="71"/>
        <v>703.81999999999971</v>
      </c>
      <c r="AJ45" s="64">
        <f t="shared" si="71"/>
        <v>322.70000000000027</v>
      </c>
      <c r="AK45" s="64">
        <f t="shared" si="71"/>
        <v>894.38000000000011</v>
      </c>
      <c r="AL45" s="64">
        <f t="shared" si="71"/>
        <v>322.70000000000027</v>
      </c>
      <c r="AM45" s="64">
        <f t="shared" si="71"/>
        <v>703.81999999999971</v>
      </c>
      <c r="AN45" s="64">
        <f t="shared" si="71"/>
        <v>322.70000000000027</v>
      </c>
      <c r="AO45" s="64">
        <f t="shared" si="71"/>
        <v>-439.53999999999996</v>
      </c>
      <c r="AP45" s="44">
        <f t="shared" si="71"/>
        <v>5587.4399999999951</v>
      </c>
    </row>
    <row r="46" spans="1:42" ht="15.75" customHeight="1">
      <c r="A46" s="65" t="s">
        <v>39</v>
      </c>
      <c r="B46" s="66"/>
      <c r="C46" s="67"/>
      <c r="D46" s="68">
        <f t="shared" ref="D46:O46" si="72">D45/D44</f>
        <v>5.8030938055182293E-2</v>
      </c>
      <c r="E46" s="68">
        <f t="shared" si="72"/>
        <v>-3.7026985111661176E-3</v>
      </c>
      <c r="F46" s="68">
        <f t="shared" si="72"/>
        <v>0.12491198987549378</v>
      </c>
      <c r="G46" s="68">
        <f t="shared" si="72"/>
        <v>-2.6642628205128065E-2</v>
      </c>
      <c r="H46" s="68">
        <f t="shared" si="72"/>
        <v>7.2355944395657915E-2</v>
      </c>
      <c r="I46" s="68">
        <f t="shared" si="72"/>
        <v>7.2355944395657915E-2</v>
      </c>
      <c r="J46" s="68">
        <f t="shared" si="72"/>
        <v>-3.8112593052109039E-2</v>
      </c>
      <c r="K46" s="68">
        <f t="shared" si="72"/>
        <v>0.1051375631667605</v>
      </c>
      <c r="L46" s="68">
        <f t="shared" si="72"/>
        <v>-4.9582557899090017E-2</v>
      </c>
      <c r="M46" s="68">
        <f t="shared" si="72"/>
        <v>5.1628099250761526E-2</v>
      </c>
      <c r="N46" s="68">
        <f t="shared" si="72"/>
        <v>-4.9582557899090017E-2</v>
      </c>
      <c r="O46" s="68">
        <f t="shared" si="72"/>
        <v>-0.33439751038435211</v>
      </c>
      <c r="P46" s="69"/>
      <c r="Q46" s="68">
        <f t="shared" ref="Q46:AO46" si="73">Q45/Q44</f>
        <v>0.1364414529369232</v>
      </c>
      <c r="R46" s="68">
        <f t="shared" si="73"/>
        <v>0.24196815262843499</v>
      </c>
      <c r="S46" s="68">
        <f t="shared" si="73"/>
        <v>0.34656969708672875</v>
      </c>
      <c r="T46" s="68">
        <f t="shared" si="73"/>
        <v>0.24196815262843499</v>
      </c>
      <c r="U46" s="68">
        <f t="shared" si="73"/>
        <v>0.31506473834777204</v>
      </c>
      <c r="V46" s="68">
        <f t="shared" si="73"/>
        <v>0.94760461366151183</v>
      </c>
      <c r="W46" s="68">
        <f t="shared" si="73"/>
        <v>0.24196815262843499</v>
      </c>
      <c r="X46" s="68">
        <f t="shared" si="73"/>
        <v>0.21588363650407449</v>
      </c>
      <c r="Y46" s="68">
        <f t="shared" si="73"/>
        <v>9.0361783154121939E-2</v>
      </c>
      <c r="Z46" s="68">
        <f t="shared" si="73"/>
        <v>0.17807768601732646</v>
      </c>
      <c r="AA46" s="68">
        <f t="shared" si="73"/>
        <v>9.0361783154121939E-2</v>
      </c>
      <c r="AB46" s="68">
        <f t="shared" si="73"/>
        <v>0.91153309409888361</v>
      </c>
      <c r="AC46" s="68">
        <f t="shared" si="73"/>
        <v>0.32856509095457337</v>
      </c>
      <c r="AD46" s="68">
        <f t="shared" si="73"/>
        <v>0.1364414529369232</v>
      </c>
      <c r="AE46" s="68">
        <f t="shared" si="73"/>
        <v>9.0361783154121939E-2</v>
      </c>
      <c r="AF46" s="68">
        <f t="shared" si="73"/>
        <v>0.21588363650407449</v>
      </c>
      <c r="AG46" s="68">
        <f t="shared" si="73"/>
        <v>9.0361783154121939E-2</v>
      </c>
      <c r="AH46" s="68">
        <f t="shared" si="73"/>
        <v>0.17807768601732646</v>
      </c>
      <c r="AI46" s="68">
        <f t="shared" si="73"/>
        <v>0.17807768601732646</v>
      </c>
      <c r="AJ46" s="68">
        <f t="shared" si="73"/>
        <v>9.0361783154121939E-2</v>
      </c>
      <c r="AK46" s="68">
        <f t="shared" si="73"/>
        <v>0.21588363650407449</v>
      </c>
      <c r="AL46" s="68">
        <f t="shared" si="73"/>
        <v>9.0361783154121939E-2</v>
      </c>
      <c r="AM46" s="68">
        <f t="shared" si="73"/>
        <v>0.17807768601732646</v>
      </c>
      <c r="AN46" s="68">
        <f t="shared" si="73"/>
        <v>9.0361783154121939E-2</v>
      </c>
      <c r="AO46" s="68">
        <f t="shared" si="73"/>
        <v>-0.15647784233310547</v>
      </c>
      <c r="AP46" s="45"/>
    </row>
    <row r="47" spans="1:42" ht="15.75" customHeight="1">
      <c r="A47" s="70"/>
      <c r="B47" s="71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51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52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52"/>
    </row>
    <row r="48" spans="1:42" ht="15.75" customHeight="1">
      <c r="A48" s="6" t="s">
        <v>40</v>
      </c>
      <c r="B48" s="24"/>
      <c r="C48" s="74"/>
      <c r="D48" s="75">
        <f>'Man Hours &amp; Costs'!C34</f>
        <v>-246486.24</v>
      </c>
      <c r="E48" s="75">
        <f>'Man Hours &amp; Costs'!D34</f>
        <v>-234748.79999999999</v>
      </c>
      <c r="F48" s="75">
        <f>'Man Hours &amp; Costs'!E34</f>
        <v>-269961.12</v>
      </c>
      <c r="G48" s="75">
        <f>'Man Hours &amp; Costs'!F34</f>
        <v>-234748.79999999999</v>
      </c>
      <c r="H48" s="75">
        <f>'Man Hours &amp; Costs'!G34</f>
        <v>-258223.68</v>
      </c>
      <c r="I48" s="75">
        <f>'Man Hours &amp; Costs'!H34</f>
        <v>-258223.68</v>
      </c>
      <c r="J48" s="75">
        <f>'Man Hours &amp; Costs'!I34</f>
        <v>-234748.79999999999</v>
      </c>
      <c r="K48" s="75">
        <f>'Man Hours &amp; Costs'!J34</f>
        <v>-269961.12</v>
      </c>
      <c r="L48" s="75">
        <f>'Man Hours &amp; Costs'!K34</f>
        <v>-234748.79999999999</v>
      </c>
      <c r="M48" s="75">
        <f>'Man Hours &amp; Costs'!L34</f>
        <v>-258223.68</v>
      </c>
      <c r="N48" s="75">
        <f>'Man Hours &amp; Costs'!M34</f>
        <v>-234748.79999999999</v>
      </c>
      <c r="O48" s="75">
        <f>'Man Hours &amp; Costs'!N34</f>
        <v>-187799.04000000001</v>
      </c>
      <c r="P48" s="76">
        <f t="shared" ref="P48:P53" si="74">SUM(D48:O48)</f>
        <v>-2922622.5599999996</v>
      </c>
      <c r="Q48" s="75">
        <f>'Man Hours &amp; Costs'!P34</f>
        <v>-284407.2</v>
      </c>
      <c r="R48" s="75">
        <f>'Man Hours &amp; Costs'!Q34</f>
        <v>-325036.79999999999</v>
      </c>
      <c r="S48" s="75">
        <f>'Man Hours &amp; Costs'!R34</f>
        <v>-373792.32</v>
      </c>
      <c r="T48" s="75">
        <f>'Man Hours &amp; Costs'!S34</f>
        <v>-325036.79999999999</v>
      </c>
      <c r="U48" s="75">
        <f>'Man Hours &amp; Costs'!T34</f>
        <v>-357540.48</v>
      </c>
      <c r="V48" s="75">
        <f>'Man Hours &amp; Costs'!U34</f>
        <v>-357540.48</v>
      </c>
      <c r="W48" s="75">
        <f>'Man Hours &amp; Costs'!V34</f>
        <v>-325036.79999999999</v>
      </c>
      <c r="X48" s="75">
        <f>'Man Hours &amp; Costs'!W34</f>
        <v>-311493.59999999998</v>
      </c>
      <c r="Y48" s="75">
        <f>'Man Hours &amp; Costs'!X34</f>
        <v>-270864</v>
      </c>
      <c r="Z48" s="75">
        <f>'Man Hours &amp; Costs'!Y34</f>
        <v>-297950.40000000002</v>
      </c>
      <c r="AA48" s="75">
        <f>'Man Hours &amp; Costs'!Z34</f>
        <v>-270864</v>
      </c>
      <c r="AB48" s="75">
        <f>'Man Hours &amp; Costs'!AA34</f>
        <v>-216691.20000000001</v>
      </c>
      <c r="AC48" s="77">
        <f t="shared" ref="AC48:AC53" si="75">SUM(Q48:AB48)</f>
        <v>-3716254.08</v>
      </c>
      <c r="AD48" s="75">
        <f>'Man Hours &amp; Costs'!AC34</f>
        <v>-284407.2</v>
      </c>
      <c r="AE48" s="75">
        <f>'Man Hours &amp; Costs'!AD34</f>
        <v>-270864</v>
      </c>
      <c r="AF48" s="75">
        <f>'Man Hours &amp; Costs'!AE34</f>
        <v>-311493.59999999998</v>
      </c>
      <c r="AG48" s="75">
        <f>'Man Hours &amp; Costs'!AF34</f>
        <v>-270864</v>
      </c>
      <c r="AH48" s="75">
        <f>'Man Hours &amp; Costs'!AG34</f>
        <v>-297950.40000000002</v>
      </c>
      <c r="AI48" s="75">
        <f>'Man Hours &amp; Costs'!AH34</f>
        <v>-297950.40000000002</v>
      </c>
      <c r="AJ48" s="75">
        <f>'Man Hours &amp; Costs'!AI34</f>
        <v>-270864</v>
      </c>
      <c r="AK48" s="75">
        <f>'Man Hours &amp; Costs'!AJ34</f>
        <v>-311493.59999999998</v>
      </c>
      <c r="AL48" s="75">
        <f>'Man Hours &amp; Costs'!AK34</f>
        <v>-270864</v>
      </c>
      <c r="AM48" s="75">
        <f>'Man Hours &amp; Costs'!AL34</f>
        <v>-297950.40000000002</v>
      </c>
      <c r="AN48" s="75">
        <f>'Man Hours &amp; Costs'!AM34</f>
        <v>-270864</v>
      </c>
      <c r="AO48" s="75">
        <f>'Man Hours &amp; Costs'!AN34</f>
        <v>-216691.20000000001</v>
      </c>
      <c r="AP48" s="77">
        <f t="shared" ref="AP48:AP54" si="76">SUM(AD48:AO48)</f>
        <v>-3372256.8</v>
      </c>
    </row>
    <row r="49" spans="1:42" ht="15.75" customHeight="1">
      <c r="A49" s="6" t="s">
        <v>41</v>
      </c>
      <c r="B49" s="24"/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6">
        <f t="shared" si="74"/>
        <v>0</v>
      </c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7">
        <f t="shared" si="75"/>
        <v>0</v>
      </c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7">
        <f t="shared" si="76"/>
        <v>0</v>
      </c>
    </row>
    <row r="50" spans="1:42" ht="15.75" customHeight="1">
      <c r="A50" s="6" t="s">
        <v>42</v>
      </c>
      <c r="B50" s="24"/>
      <c r="C50" s="74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6">
        <f t="shared" si="74"/>
        <v>0</v>
      </c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7">
        <f t="shared" si="75"/>
        <v>0</v>
      </c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7">
        <f t="shared" si="76"/>
        <v>0</v>
      </c>
    </row>
    <row r="51" spans="1:42" ht="15.75" customHeight="1">
      <c r="A51" s="6" t="s">
        <v>43</v>
      </c>
      <c r="B51" s="24"/>
      <c r="C51" s="74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6">
        <f t="shared" si="74"/>
        <v>0</v>
      </c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7">
        <f t="shared" si="75"/>
        <v>0</v>
      </c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7">
        <f t="shared" si="76"/>
        <v>0</v>
      </c>
    </row>
    <row r="52" spans="1:42" ht="15.75" customHeight="1">
      <c r="A52" s="6" t="s">
        <v>44</v>
      </c>
      <c r="B52" s="24"/>
      <c r="C52" s="74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6">
        <f t="shared" si="74"/>
        <v>0</v>
      </c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7">
        <f t="shared" si="75"/>
        <v>0</v>
      </c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7">
        <f t="shared" si="76"/>
        <v>0</v>
      </c>
    </row>
    <row r="53" spans="1:42" ht="15.75" customHeight="1">
      <c r="A53" s="6" t="s">
        <v>45</v>
      </c>
      <c r="B53" s="28"/>
      <c r="C53" s="2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6">
        <f t="shared" si="74"/>
        <v>0</v>
      </c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7">
        <f t="shared" si="75"/>
        <v>0</v>
      </c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7">
        <f t="shared" si="76"/>
        <v>0</v>
      </c>
    </row>
    <row r="54" spans="1:42" ht="15.75" customHeight="1">
      <c r="A54" s="6" t="s">
        <v>46</v>
      </c>
      <c r="B54" s="24"/>
      <c r="C54" s="74"/>
      <c r="D54" s="78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6">
        <f t="shared" ref="P54:P60" si="77">SUM(E54:O54)</f>
        <v>0</v>
      </c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7">
        <f t="shared" ref="AC54:AC60" si="78">SUM(R54:AB54)</f>
        <v>0</v>
      </c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7">
        <f t="shared" si="76"/>
        <v>0</v>
      </c>
    </row>
    <row r="55" spans="1:42" ht="15.75" customHeight="1">
      <c r="A55" s="6" t="s">
        <v>47</v>
      </c>
      <c r="B55" s="28"/>
      <c r="C55" s="2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6">
        <f t="shared" si="77"/>
        <v>0</v>
      </c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7">
        <f t="shared" si="78"/>
        <v>0</v>
      </c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7">
        <f t="shared" ref="AP55:AP60" si="79">SUM(AE55:AO55)</f>
        <v>0</v>
      </c>
    </row>
    <row r="56" spans="1:42" ht="15.75" customHeight="1">
      <c r="A56" s="6" t="s">
        <v>48</v>
      </c>
      <c r="B56" s="28"/>
      <c r="C56" s="2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6">
        <f t="shared" si="77"/>
        <v>0</v>
      </c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7">
        <f t="shared" si="78"/>
        <v>0</v>
      </c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7">
        <f t="shared" si="79"/>
        <v>0</v>
      </c>
    </row>
    <row r="57" spans="1:42" ht="15.75" customHeight="1">
      <c r="A57" s="6" t="s">
        <v>49</v>
      </c>
      <c r="B57" s="28"/>
      <c r="C57" s="2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6">
        <f t="shared" si="77"/>
        <v>0</v>
      </c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7">
        <f t="shared" si="78"/>
        <v>0</v>
      </c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7">
        <f t="shared" si="79"/>
        <v>0</v>
      </c>
    </row>
    <row r="58" spans="1:42" ht="15.75" customHeight="1">
      <c r="A58" s="6" t="s">
        <v>50</v>
      </c>
      <c r="B58" s="28"/>
      <c r="C58" s="2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6">
        <f t="shared" si="77"/>
        <v>0</v>
      </c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7">
        <f t="shared" si="78"/>
        <v>0</v>
      </c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7">
        <f t="shared" si="79"/>
        <v>0</v>
      </c>
    </row>
    <row r="59" spans="1:42" ht="15.75" customHeight="1">
      <c r="A59" s="6" t="s">
        <v>51</v>
      </c>
      <c r="B59" s="28"/>
      <c r="C59" s="2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6">
        <f t="shared" si="77"/>
        <v>0</v>
      </c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7">
        <f t="shared" si="78"/>
        <v>0</v>
      </c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7">
        <f t="shared" si="79"/>
        <v>0</v>
      </c>
    </row>
    <row r="60" spans="1:42" ht="15.75" customHeight="1">
      <c r="A60" s="6" t="s">
        <v>52</v>
      </c>
      <c r="B60" s="79">
        <f>Controls!D70</f>
        <v>-125</v>
      </c>
      <c r="C60" s="2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7">
        <f t="shared" si="77"/>
        <v>0</v>
      </c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7">
        <f t="shared" si="78"/>
        <v>0</v>
      </c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7">
        <f t="shared" si="79"/>
        <v>0</v>
      </c>
    </row>
    <row r="61" spans="1:42" ht="15.75" customHeight="1">
      <c r="A61" s="80" t="s">
        <v>53</v>
      </c>
      <c r="B61" s="28"/>
      <c r="C61" s="25"/>
      <c r="D61" s="75">
        <f>SUM(D48:D60)</f>
        <v>-246486.24</v>
      </c>
      <c r="E61" s="75">
        <f t="shared" ref="E61:O61" si="80">SUM(E48:E60)</f>
        <v>-234748.79999999999</v>
      </c>
      <c r="F61" s="75">
        <f t="shared" si="80"/>
        <v>-269961.12</v>
      </c>
      <c r="G61" s="75">
        <f t="shared" si="80"/>
        <v>-234748.79999999999</v>
      </c>
      <c r="H61" s="75">
        <f t="shared" si="80"/>
        <v>-258223.68</v>
      </c>
      <c r="I61" s="75">
        <f t="shared" si="80"/>
        <v>-258223.68</v>
      </c>
      <c r="J61" s="75">
        <f t="shared" si="80"/>
        <v>-234748.79999999999</v>
      </c>
      <c r="K61" s="75">
        <f t="shared" si="80"/>
        <v>-269961.12</v>
      </c>
      <c r="L61" s="75">
        <f t="shared" si="80"/>
        <v>-234748.79999999999</v>
      </c>
      <c r="M61" s="75">
        <f t="shared" si="80"/>
        <v>-258223.68</v>
      </c>
      <c r="N61" s="75">
        <f t="shared" si="80"/>
        <v>-234748.79999999999</v>
      </c>
      <c r="O61" s="75">
        <f t="shared" si="80"/>
        <v>-187799.04000000001</v>
      </c>
      <c r="P61" s="76">
        <f>SUM(D61:O61)</f>
        <v>-2922622.5599999996</v>
      </c>
      <c r="Q61" s="75">
        <f t="shared" ref="Q61:AB61" si="81">SUM(Q48:Q60)</f>
        <v>-284407.2</v>
      </c>
      <c r="R61" s="75">
        <f t="shared" si="81"/>
        <v>-325036.79999999999</v>
      </c>
      <c r="S61" s="75">
        <f t="shared" si="81"/>
        <v>-373792.32</v>
      </c>
      <c r="T61" s="75">
        <f t="shared" si="81"/>
        <v>-325036.79999999999</v>
      </c>
      <c r="U61" s="75">
        <f t="shared" si="81"/>
        <v>-357540.48</v>
      </c>
      <c r="V61" s="75">
        <f t="shared" si="81"/>
        <v>-357540.48</v>
      </c>
      <c r="W61" s="75">
        <f t="shared" si="81"/>
        <v>-325036.79999999999</v>
      </c>
      <c r="X61" s="75">
        <f t="shared" si="81"/>
        <v>-311493.59999999998</v>
      </c>
      <c r="Y61" s="75">
        <f t="shared" si="81"/>
        <v>-270864</v>
      </c>
      <c r="Z61" s="75">
        <f t="shared" si="81"/>
        <v>-297950.40000000002</v>
      </c>
      <c r="AA61" s="75">
        <f t="shared" si="81"/>
        <v>-270864</v>
      </c>
      <c r="AB61" s="75">
        <f t="shared" si="81"/>
        <v>-216691.20000000001</v>
      </c>
      <c r="AC61" s="77">
        <f>SUM(Q61:AB61)</f>
        <v>-3716254.08</v>
      </c>
      <c r="AD61" s="75">
        <f t="shared" ref="AD61:AO61" si="82">SUM(AD48:AD60)</f>
        <v>-284407.2</v>
      </c>
      <c r="AE61" s="75">
        <f t="shared" si="82"/>
        <v>-270864</v>
      </c>
      <c r="AF61" s="75">
        <f t="shared" si="82"/>
        <v>-311493.59999999998</v>
      </c>
      <c r="AG61" s="75">
        <f t="shared" si="82"/>
        <v>-270864</v>
      </c>
      <c r="AH61" s="75">
        <f t="shared" si="82"/>
        <v>-297950.40000000002</v>
      </c>
      <c r="AI61" s="75">
        <f t="shared" si="82"/>
        <v>-297950.40000000002</v>
      </c>
      <c r="AJ61" s="75">
        <f t="shared" si="82"/>
        <v>-270864</v>
      </c>
      <c r="AK61" s="75">
        <f t="shared" si="82"/>
        <v>-311493.59999999998</v>
      </c>
      <c r="AL61" s="75">
        <f t="shared" si="82"/>
        <v>-270864</v>
      </c>
      <c r="AM61" s="75">
        <f t="shared" si="82"/>
        <v>-297950.40000000002</v>
      </c>
      <c r="AN61" s="75">
        <f t="shared" si="82"/>
        <v>-270864</v>
      </c>
      <c r="AO61" s="75">
        <f t="shared" si="82"/>
        <v>-216691.20000000001</v>
      </c>
      <c r="AP61" s="77">
        <f>SUM(AD61:AO61)</f>
        <v>-3372256.8</v>
      </c>
    </row>
    <row r="62" spans="1:42" ht="15.75" customHeight="1">
      <c r="A62" s="29"/>
      <c r="B62" s="81"/>
      <c r="C62" s="82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4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5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5"/>
    </row>
    <row r="63" spans="1:42" ht="15.75" customHeight="1">
      <c r="A63" s="80" t="s">
        <v>54</v>
      </c>
      <c r="B63" s="28"/>
      <c r="C63" s="86"/>
      <c r="D63" s="75">
        <f t="shared" ref="D63:O63" si="83">SUM(D41,D61)</f>
        <v>60613.760000000009</v>
      </c>
      <c r="E63" s="75">
        <f t="shared" si="83"/>
        <v>75901.200000000012</v>
      </c>
      <c r="F63" s="75">
        <f t="shared" si="83"/>
        <v>44238.880000000005</v>
      </c>
      <c r="G63" s="75">
        <f t="shared" si="83"/>
        <v>83001.200000000012</v>
      </c>
      <c r="H63" s="75">
        <f t="shared" si="83"/>
        <v>59526.320000000007</v>
      </c>
      <c r="I63" s="75">
        <f t="shared" si="83"/>
        <v>59526.320000000007</v>
      </c>
      <c r="J63" s="75">
        <f t="shared" si="83"/>
        <v>86551.200000000012</v>
      </c>
      <c r="K63" s="75">
        <f t="shared" si="83"/>
        <v>51338.880000000005</v>
      </c>
      <c r="L63" s="75">
        <f t="shared" si="83"/>
        <v>90101.200000000012</v>
      </c>
      <c r="M63" s="75">
        <f t="shared" si="83"/>
        <v>66626.320000000007</v>
      </c>
      <c r="N63" s="75">
        <f t="shared" si="83"/>
        <v>90101.200000000012</v>
      </c>
      <c r="O63" s="75">
        <f t="shared" si="83"/>
        <v>137050.96</v>
      </c>
      <c r="P63" s="76">
        <f>SUM(D63:O63)</f>
        <v>904577.44</v>
      </c>
      <c r="Q63" s="75">
        <f t="shared" ref="Q63:AB63" si="84">SUM(Q41,Q61)</f>
        <v>40442.799999999988</v>
      </c>
      <c r="R63" s="75">
        <f t="shared" si="84"/>
        <v>-186.79999999998836</v>
      </c>
      <c r="S63" s="75">
        <f t="shared" si="84"/>
        <v>-48942.320000000007</v>
      </c>
      <c r="T63" s="75">
        <f t="shared" si="84"/>
        <v>-186.79999999998836</v>
      </c>
      <c r="U63" s="75">
        <f t="shared" si="84"/>
        <v>-32690.479999999981</v>
      </c>
      <c r="V63" s="75">
        <f t="shared" si="84"/>
        <v>-332690.48</v>
      </c>
      <c r="W63" s="75">
        <f t="shared" si="84"/>
        <v>-186.79999999998836</v>
      </c>
      <c r="X63" s="75">
        <f t="shared" si="84"/>
        <v>13356.400000000023</v>
      </c>
      <c r="Y63" s="75">
        <f t="shared" si="84"/>
        <v>53986</v>
      </c>
      <c r="Z63" s="75">
        <f t="shared" si="84"/>
        <v>26899.599999999977</v>
      </c>
      <c r="AA63" s="75">
        <f t="shared" si="84"/>
        <v>53986</v>
      </c>
      <c r="AB63" s="75">
        <f t="shared" si="84"/>
        <v>-191841.2</v>
      </c>
      <c r="AC63" s="77">
        <f>SUM(Q63:AB63)</f>
        <v>-418054.07999999996</v>
      </c>
      <c r="AD63" s="75">
        <f t="shared" ref="AD63:AO63" si="85">SUM(AD41,AD61)</f>
        <v>40442.799999999988</v>
      </c>
      <c r="AE63" s="75">
        <f t="shared" si="85"/>
        <v>53986</v>
      </c>
      <c r="AF63" s="75">
        <f t="shared" si="85"/>
        <v>13356.400000000023</v>
      </c>
      <c r="AG63" s="75">
        <f t="shared" si="85"/>
        <v>53986</v>
      </c>
      <c r="AH63" s="75">
        <f t="shared" si="85"/>
        <v>26899.599999999977</v>
      </c>
      <c r="AI63" s="75">
        <f t="shared" si="85"/>
        <v>26899.599999999977</v>
      </c>
      <c r="AJ63" s="75">
        <f t="shared" si="85"/>
        <v>53986</v>
      </c>
      <c r="AK63" s="75">
        <f t="shared" si="85"/>
        <v>13356.400000000023</v>
      </c>
      <c r="AL63" s="75">
        <f t="shared" si="85"/>
        <v>53986</v>
      </c>
      <c r="AM63" s="75">
        <f t="shared" si="85"/>
        <v>26899.599999999977</v>
      </c>
      <c r="AN63" s="75">
        <f t="shared" si="85"/>
        <v>53986</v>
      </c>
      <c r="AO63" s="75">
        <f t="shared" si="85"/>
        <v>108158.79999999999</v>
      </c>
      <c r="AP63" s="77">
        <f>SUM(AD63:AO63)</f>
        <v>525943.19999999995</v>
      </c>
    </row>
    <row r="64" spans="1:42" ht="15.75" customHeight="1">
      <c r="A64" s="29"/>
      <c r="B64" s="81"/>
      <c r="C64" s="87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5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5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5"/>
    </row>
    <row r="65" spans="1:42" ht="15.75" customHeight="1">
      <c r="A65" s="80" t="s">
        <v>55</v>
      </c>
      <c r="B65" s="28"/>
      <c r="C65" s="25"/>
      <c r="D65" s="75">
        <f t="shared" ref="D65:O65" si="86">SUM(D41,D61)</f>
        <v>60613.760000000009</v>
      </c>
      <c r="E65" s="75">
        <f t="shared" si="86"/>
        <v>75901.200000000012</v>
      </c>
      <c r="F65" s="75">
        <f t="shared" si="86"/>
        <v>44238.880000000005</v>
      </c>
      <c r="G65" s="75">
        <f t="shared" si="86"/>
        <v>83001.200000000012</v>
      </c>
      <c r="H65" s="75">
        <f t="shared" si="86"/>
        <v>59526.320000000007</v>
      </c>
      <c r="I65" s="75">
        <f t="shared" si="86"/>
        <v>59526.320000000007</v>
      </c>
      <c r="J65" s="75">
        <f t="shared" si="86"/>
        <v>86551.200000000012</v>
      </c>
      <c r="K65" s="75">
        <f t="shared" si="86"/>
        <v>51338.880000000005</v>
      </c>
      <c r="L65" s="75">
        <f t="shared" si="86"/>
        <v>90101.200000000012</v>
      </c>
      <c r="M65" s="75">
        <f t="shared" si="86"/>
        <v>66626.320000000007</v>
      </c>
      <c r="N65" s="75">
        <f t="shared" si="86"/>
        <v>90101.200000000012</v>
      </c>
      <c r="O65" s="75">
        <f t="shared" si="86"/>
        <v>137050.96</v>
      </c>
      <c r="P65" s="77">
        <f>SUM(D65:O65)</f>
        <v>904577.44</v>
      </c>
      <c r="Q65" s="75">
        <f t="shared" ref="Q65:AB65" si="87">SUM(Q41,Q61)</f>
        <v>40442.799999999988</v>
      </c>
      <c r="R65" s="75">
        <f t="shared" si="87"/>
        <v>-186.79999999998836</v>
      </c>
      <c r="S65" s="75">
        <f t="shared" si="87"/>
        <v>-48942.320000000007</v>
      </c>
      <c r="T65" s="75">
        <f t="shared" si="87"/>
        <v>-186.79999999998836</v>
      </c>
      <c r="U65" s="75">
        <f t="shared" si="87"/>
        <v>-32690.479999999981</v>
      </c>
      <c r="V65" s="75">
        <f t="shared" si="87"/>
        <v>-332690.48</v>
      </c>
      <c r="W65" s="75">
        <f t="shared" si="87"/>
        <v>-186.79999999998836</v>
      </c>
      <c r="X65" s="75">
        <f t="shared" si="87"/>
        <v>13356.400000000023</v>
      </c>
      <c r="Y65" s="75">
        <f t="shared" si="87"/>
        <v>53986</v>
      </c>
      <c r="Z65" s="75">
        <f t="shared" si="87"/>
        <v>26899.599999999977</v>
      </c>
      <c r="AA65" s="75">
        <f t="shared" si="87"/>
        <v>53986</v>
      </c>
      <c r="AB65" s="75">
        <f t="shared" si="87"/>
        <v>-191841.2</v>
      </c>
      <c r="AC65" s="77">
        <f>SUM(Q65:AB65)</f>
        <v>-418054.07999999996</v>
      </c>
      <c r="AD65" s="75">
        <f t="shared" ref="AD65:AO65" si="88">SUM(AD41,AD61)</f>
        <v>40442.799999999988</v>
      </c>
      <c r="AE65" s="75">
        <f t="shared" si="88"/>
        <v>53986</v>
      </c>
      <c r="AF65" s="75">
        <f t="shared" si="88"/>
        <v>13356.400000000023</v>
      </c>
      <c r="AG65" s="75">
        <f t="shared" si="88"/>
        <v>53986</v>
      </c>
      <c r="AH65" s="75">
        <f t="shared" si="88"/>
        <v>26899.599999999977</v>
      </c>
      <c r="AI65" s="75">
        <f t="shared" si="88"/>
        <v>26899.599999999977</v>
      </c>
      <c r="AJ65" s="75">
        <f t="shared" si="88"/>
        <v>53986</v>
      </c>
      <c r="AK65" s="75">
        <f t="shared" si="88"/>
        <v>13356.400000000023</v>
      </c>
      <c r="AL65" s="75">
        <f t="shared" si="88"/>
        <v>53986</v>
      </c>
      <c r="AM65" s="75">
        <f t="shared" si="88"/>
        <v>26899.599999999977</v>
      </c>
      <c r="AN65" s="75">
        <f t="shared" si="88"/>
        <v>53986</v>
      </c>
      <c r="AO65" s="75">
        <f t="shared" si="88"/>
        <v>108158.79999999999</v>
      </c>
      <c r="AP65" s="77">
        <f>SUM(AD65:AO65)</f>
        <v>525943.19999999995</v>
      </c>
    </row>
    <row r="66" spans="1:42" ht="15.75" customHeight="1">
      <c r="A66" s="88" t="s">
        <v>56</v>
      </c>
      <c r="B66" s="89"/>
      <c r="C66" s="90"/>
      <c r="D66" s="75">
        <f>D65</f>
        <v>60613.760000000009</v>
      </c>
      <c r="E66" s="75">
        <f t="shared" ref="E66:O66" si="89">D66+E65</f>
        <v>136514.96000000002</v>
      </c>
      <c r="F66" s="75">
        <f t="shared" si="89"/>
        <v>180753.84000000003</v>
      </c>
      <c r="G66" s="75">
        <f t="shared" si="89"/>
        <v>263755.04000000004</v>
      </c>
      <c r="H66" s="75">
        <f t="shared" si="89"/>
        <v>323281.36000000004</v>
      </c>
      <c r="I66" s="75">
        <f t="shared" si="89"/>
        <v>382807.68000000005</v>
      </c>
      <c r="J66" s="75">
        <f t="shared" si="89"/>
        <v>469358.88000000006</v>
      </c>
      <c r="K66" s="75">
        <f t="shared" si="89"/>
        <v>520697.76000000007</v>
      </c>
      <c r="L66" s="75">
        <f t="shared" si="89"/>
        <v>610798.96000000008</v>
      </c>
      <c r="M66" s="75">
        <f t="shared" si="89"/>
        <v>677425.28</v>
      </c>
      <c r="N66" s="75">
        <f t="shared" si="89"/>
        <v>767526.48</v>
      </c>
      <c r="O66" s="75">
        <f t="shared" si="89"/>
        <v>904577.44</v>
      </c>
      <c r="P66" s="91"/>
      <c r="Q66" s="75">
        <f>O66+Q65</f>
        <v>945020.24</v>
      </c>
      <c r="R66" s="75">
        <f t="shared" ref="R66:AB66" si="90">Q66+R65</f>
        <v>944833.44</v>
      </c>
      <c r="S66" s="75">
        <f t="shared" si="90"/>
        <v>895891.11999999988</v>
      </c>
      <c r="T66" s="75">
        <f t="shared" si="90"/>
        <v>895704.31999999983</v>
      </c>
      <c r="U66" s="75">
        <f t="shared" si="90"/>
        <v>863013.83999999985</v>
      </c>
      <c r="V66" s="75">
        <f t="shared" si="90"/>
        <v>530323.35999999987</v>
      </c>
      <c r="W66" s="75">
        <f t="shared" si="90"/>
        <v>530136.55999999982</v>
      </c>
      <c r="X66" s="75">
        <f t="shared" si="90"/>
        <v>543492.95999999985</v>
      </c>
      <c r="Y66" s="75">
        <f t="shared" si="90"/>
        <v>597478.95999999985</v>
      </c>
      <c r="Z66" s="75">
        <f t="shared" si="90"/>
        <v>624378.55999999982</v>
      </c>
      <c r="AA66" s="75">
        <f t="shared" si="90"/>
        <v>678364.55999999982</v>
      </c>
      <c r="AB66" s="75">
        <f t="shared" si="90"/>
        <v>486523.35999999981</v>
      </c>
      <c r="AC66" s="91"/>
      <c r="AD66" s="75">
        <f>AB66+AD65</f>
        <v>526966.1599999998</v>
      </c>
      <c r="AE66" s="75">
        <f t="shared" ref="AE66:AO66" si="91">AD66+AE65</f>
        <v>580952.1599999998</v>
      </c>
      <c r="AF66" s="75">
        <f t="shared" si="91"/>
        <v>594308.55999999982</v>
      </c>
      <c r="AG66" s="75">
        <f t="shared" si="91"/>
        <v>648294.55999999982</v>
      </c>
      <c r="AH66" s="75">
        <f t="shared" si="91"/>
        <v>675194.1599999998</v>
      </c>
      <c r="AI66" s="75">
        <f t="shared" si="91"/>
        <v>702093.75999999978</v>
      </c>
      <c r="AJ66" s="75">
        <f t="shared" si="91"/>
        <v>756079.75999999978</v>
      </c>
      <c r="AK66" s="75">
        <f t="shared" si="91"/>
        <v>769436.1599999998</v>
      </c>
      <c r="AL66" s="75">
        <f t="shared" si="91"/>
        <v>823422.1599999998</v>
      </c>
      <c r="AM66" s="75">
        <f t="shared" si="91"/>
        <v>850321.75999999978</v>
      </c>
      <c r="AN66" s="75">
        <f t="shared" si="91"/>
        <v>904307.75999999978</v>
      </c>
      <c r="AO66" s="75">
        <f t="shared" si="91"/>
        <v>1012466.5599999998</v>
      </c>
      <c r="AP66" s="91"/>
    </row>
    <row r="67" spans="1:42" ht="14.25" customHeight="1">
      <c r="A67" s="6"/>
      <c r="B67" s="6"/>
      <c r="C67" s="6"/>
    </row>
    <row r="68" spans="1:42" ht="15.75" customHeight="1">
      <c r="A68" s="6"/>
      <c r="B68" s="6"/>
      <c r="C68" s="6"/>
    </row>
    <row r="69" spans="1:42" ht="15.75" customHeight="1">
      <c r="A69" s="6"/>
      <c r="B69" s="6"/>
      <c r="C69" s="6"/>
    </row>
    <row r="70" spans="1:42" ht="15.75" customHeight="1">
      <c r="A70" s="6"/>
      <c r="B70" s="6"/>
      <c r="C70" s="6"/>
    </row>
    <row r="71" spans="1:42" ht="15.75" customHeight="1">
      <c r="A71" s="6"/>
      <c r="B71" s="6"/>
      <c r="C71" s="6"/>
    </row>
    <row r="72" spans="1:42" ht="15.75" customHeight="1">
      <c r="A72" s="6"/>
      <c r="B72" s="6"/>
      <c r="C72" s="6"/>
    </row>
    <row r="73" spans="1:42" ht="15.75" customHeight="1">
      <c r="A73" s="6"/>
      <c r="B73" s="6"/>
      <c r="C73" s="6"/>
    </row>
    <row r="74" spans="1:42" ht="15.75" customHeight="1">
      <c r="A74" s="6"/>
      <c r="B74" s="6"/>
      <c r="C74" s="6"/>
      <c r="R74" s="92"/>
    </row>
    <row r="75" spans="1:42" ht="15.75" customHeight="1">
      <c r="A75" s="6"/>
      <c r="B75" s="6"/>
      <c r="C75" s="6"/>
      <c r="R75" s="92"/>
    </row>
    <row r="76" spans="1:42" ht="24.75" customHeight="1">
      <c r="A76" s="6"/>
      <c r="B76" s="6"/>
      <c r="C76" s="6"/>
    </row>
    <row r="77" spans="1:42" ht="24.75" customHeight="1">
      <c r="A77" s="6"/>
      <c r="B77" s="6"/>
      <c r="C77" s="6"/>
    </row>
    <row r="78" spans="1:42" ht="15.75" customHeight="1">
      <c r="A78" s="6"/>
      <c r="B78" s="6"/>
      <c r="C78" s="6"/>
    </row>
    <row r="79" spans="1:42" ht="15.75" customHeight="1">
      <c r="A79" s="6"/>
      <c r="B79" s="6"/>
      <c r="C79" s="6"/>
    </row>
    <row r="80" spans="1:42" ht="15.75" customHeight="1">
      <c r="A80" s="6"/>
      <c r="B80" s="6"/>
      <c r="C80" s="6"/>
    </row>
    <row r="81" spans="1:3" ht="15.75" customHeight="1">
      <c r="A81" s="6"/>
      <c r="B81" s="6"/>
      <c r="C81" s="6"/>
    </row>
    <row r="82" spans="1:3" ht="15.75" customHeight="1">
      <c r="A82" s="6"/>
      <c r="B82" s="6"/>
      <c r="C82" s="6"/>
    </row>
    <row r="83" spans="1:3" ht="15.75" customHeight="1">
      <c r="A83" s="6"/>
      <c r="B83" s="6"/>
      <c r="C83" s="6"/>
    </row>
    <row r="84" spans="1:3" ht="15.75" customHeight="1">
      <c r="A84" s="6"/>
      <c r="B84" s="6"/>
      <c r="C84" s="6"/>
    </row>
    <row r="85" spans="1:3" ht="15.75" customHeight="1">
      <c r="A85" s="6"/>
      <c r="B85" s="6"/>
      <c r="C85" s="6"/>
    </row>
    <row r="86" spans="1:3" ht="15.75" customHeight="1">
      <c r="A86" s="6"/>
      <c r="B86" s="6"/>
      <c r="C86" s="6"/>
    </row>
    <row r="87" spans="1:3" ht="15.75" customHeight="1">
      <c r="A87" s="6"/>
      <c r="B87" s="6"/>
      <c r="C87" s="6"/>
    </row>
    <row r="88" spans="1:3" ht="15.75" customHeight="1">
      <c r="A88" s="6"/>
      <c r="B88" s="6"/>
      <c r="C88" s="6"/>
    </row>
    <row r="89" spans="1:3" ht="15.75" customHeight="1">
      <c r="A89" s="6"/>
      <c r="B89" s="6"/>
      <c r="C89" s="6"/>
    </row>
    <row r="90" spans="1:3" ht="15.75" customHeight="1">
      <c r="A90" s="6"/>
      <c r="B90" s="6"/>
      <c r="C90" s="6"/>
    </row>
    <row r="91" spans="1:3" ht="15.75" customHeight="1">
      <c r="A91" s="6"/>
      <c r="B91" s="6"/>
      <c r="C91" s="6"/>
    </row>
    <row r="92" spans="1:3" ht="15.75" customHeight="1">
      <c r="A92" s="6"/>
      <c r="B92" s="6"/>
      <c r="C92" s="6"/>
    </row>
    <row r="93" spans="1:3" ht="15.75" customHeight="1">
      <c r="A93" s="6"/>
      <c r="B93" s="6"/>
      <c r="C93" s="6"/>
    </row>
    <row r="94" spans="1:3" ht="15.75" customHeight="1">
      <c r="A94" s="6"/>
      <c r="B94" s="6"/>
      <c r="C94" s="6"/>
    </row>
    <row r="95" spans="1:3" ht="15.75" customHeight="1">
      <c r="A95" s="6"/>
      <c r="B95" s="6"/>
      <c r="C95" s="6"/>
    </row>
    <row r="96" spans="1:3" ht="15.75" customHeight="1">
      <c r="A96" s="6"/>
      <c r="B96" s="6"/>
      <c r="C96" s="6"/>
    </row>
    <row r="97" spans="1:3" ht="15.75" customHeight="1">
      <c r="A97" s="6"/>
      <c r="B97" s="6"/>
      <c r="C97" s="6"/>
    </row>
    <row r="98" spans="1:3" ht="15.75" customHeight="1">
      <c r="A98" s="6"/>
      <c r="B98" s="6"/>
      <c r="C98" s="6"/>
    </row>
    <row r="99" spans="1:3" ht="15.75" customHeight="1">
      <c r="A99" s="6"/>
      <c r="B99" s="6"/>
      <c r="C99" s="6"/>
    </row>
    <row r="100" spans="1:3" ht="15.75" customHeight="1">
      <c r="A100" s="6"/>
      <c r="B100" s="6"/>
      <c r="C100" s="6"/>
    </row>
    <row r="101" spans="1:3" ht="15.75" customHeight="1">
      <c r="A101" s="6"/>
      <c r="B101" s="6"/>
      <c r="C101" s="6"/>
    </row>
    <row r="102" spans="1:3" ht="15.75" customHeight="1">
      <c r="A102" s="6"/>
      <c r="B102" s="6"/>
      <c r="C102" s="6"/>
    </row>
    <row r="103" spans="1:3" ht="15.75" customHeight="1">
      <c r="A103" s="6"/>
      <c r="B103" s="6"/>
      <c r="C103" s="6"/>
    </row>
    <row r="104" spans="1:3" ht="15.75" customHeight="1">
      <c r="A104" s="6"/>
      <c r="B104" s="6"/>
      <c r="C104" s="6"/>
    </row>
    <row r="105" spans="1:3" ht="15.75" customHeight="1">
      <c r="A105" s="6"/>
      <c r="B105" s="6"/>
      <c r="C105" s="6"/>
    </row>
    <row r="106" spans="1:3" ht="15.75" customHeight="1">
      <c r="A106" s="6"/>
      <c r="B106" s="6"/>
      <c r="C106" s="6"/>
    </row>
    <row r="107" spans="1:3" ht="15.75" customHeight="1">
      <c r="A107" s="6"/>
      <c r="B107" s="6"/>
      <c r="C107" s="6"/>
    </row>
    <row r="108" spans="1:3" ht="15.75" customHeight="1">
      <c r="A108" s="6"/>
      <c r="B108" s="6"/>
      <c r="C108" s="6"/>
    </row>
    <row r="109" spans="1:3" ht="15.75" customHeight="1">
      <c r="A109" s="6"/>
      <c r="B109" s="6"/>
      <c r="C109" s="6"/>
    </row>
    <row r="110" spans="1:3" ht="15.75" customHeight="1">
      <c r="A110" s="6"/>
      <c r="B110" s="6"/>
      <c r="C110" s="6"/>
    </row>
    <row r="111" spans="1:3" ht="15.75" customHeight="1">
      <c r="A111" s="6"/>
      <c r="B111" s="6"/>
      <c r="C111" s="6"/>
    </row>
    <row r="112" spans="1:3" ht="15.75" customHeight="1">
      <c r="A112" s="6"/>
      <c r="B112" s="6"/>
      <c r="C112" s="6"/>
    </row>
    <row r="113" spans="1:3" ht="15.75" customHeight="1">
      <c r="A113" s="6"/>
      <c r="B113" s="6"/>
      <c r="C113" s="6"/>
    </row>
    <row r="114" spans="1:3" ht="15.75" customHeight="1">
      <c r="A114" s="6"/>
      <c r="B114" s="6"/>
      <c r="C114" s="6"/>
    </row>
    <row r="115" spans="1:3" ht="15.75" customHeight="1">
      <c r="A115" s="6"/>
      <c r="B115" s="6"/>
      <c r="C115" s="6"/>
    </row>
    <row r="116" spans="1:3" ht="15.75" customHeight="1">
      <c r="A116" s="6"/>
      <c r="B116" s="6"/>
      <c r="C116" s="6"/>
    </row>
    <row r="117" spans="1:3" ht="15.75" customHeight="1">
      <c r="A117" s="6"/>
      <c r="B117" s="6"/>
      <c r="C117" s="6"/>
    </row>
    <row r="118" spans="1:3" ht="15.75" customHeight="1">
      <c r="A118" s="6"/>
      <c r="B118" s="6"/>
      <c r="C118" s="6"/>
    </row>
    <row r="119" spans="1:3" ht="15.75" customHeight="1">
      <c r="A119" s="6"/>
      <c r="B119" s="6"/>
      <c r="C119" s="6"/>
    </row>
    <row r="120" spans="1:3" ht="15.75" customHeight="1">
      <c r="A120" s="6"/>
      <c r="B120" s="6"/>
      <c r="C120" s="6"/>
    </row>
    <row r="121" spans="1:3" ht="15.75" customHeight="1">
      <c r="A121" s="6"/>
      <c r="B121" s="6"/>
      <c r="C121" s="6"/>
    </row>
    <row r="122" spans="1:3" ht="15.75" customHeight="1">
      <c r="A122" s="6"/>
      <c r="B122" s="6"/>
      <c r="C122" s="6"/>
    </row>
    <row r="123" spans="1:3" ht="15.75" customHeight="1">
      <c r="A123" s="6"/>
      <c r="B123" s="6"/>
      <c r="C123" s="6"/>
    </row>
    <row r="124" spans="1:3" ht="15.75" customHeight="1">
      <c r="A124" s="6"/>
      <c r="B124" s="6"/>
      <c r="C124" s="6"/>
    </row>
    <row r="125" spans="1:3" ht="15.75" customHeight="1">
      <c r="A125" s="6"/>
      <c r="B125" s="6"/>
      <c r="C125" s="6"/>
    </row>
    <row r="126" spans="1:3" ht="15.75" customHeight="1">
      <c r="A126" s="6"/>
      <c r="B126" s="6"/>
      <c r="C126" s="6"/>
    </row>
    <row r="127" spans="1:3" ht="15.75" customHeight="1">
      <c r="A127" s="6"/>
      <c r="B127" s="6"/>
      <c r="C127" s="6"/>
    </row>
    <row r="128" spans="1:3" ht="15.75" customHeight="1">
      <c r="A128" s="6"/>
      <c r="B128" s="6"/>
      <c r="C128" s="6"/>
    </row>
    <row r="129" spans="1:3" ht="15.75" customHeight="1">
      <c r="A129" s="6"/>
      <c r="B129" s="6"/>
      <c r="C129" s="6"/>
    </row>
    <row r="130" spans="1:3" ht="15.75" customHeight="1">
      <c r="A130" s="6"/>
      <c r="B130" s="6"/>
      <c r="C130" s="6"/>
    </row>
    <row r="131" spans="1:3" ht="15.75" customHeight="1">
      <c r="A131" s="6"/>
      <c r="B131" s="6"/>
      <c r="C131" s="6"/>
    </row>
    <row r="132" spans="1:3" ht="15.75" customHeight="1">
      <c r="A132" s="6"/>
      <c r="B132" s="6"/>
      <c r="C132" s="6"/>
    </row>
    <row r="133" spans="1:3" ht="15.75" customHeight="1">
      <c r="A133" s="6"/>
      <c r="B133" s="6"/>
      <c r="C133" s="6"/>
    </row>
    <row r="134" spans="1:3" ht="15.75" customHeight="1">
      <c r="A134" s="6"/>
      <c r="B134" s="6"/>
      <c r="C134" s="6"/>
    </row>
    <row r="135" spans="1:3" ht="15.75" customHeight="1">
      <c r="A135" s="6"/>
      <c r="B135" s="6"/>
      <c r="C135" s="6"/>
    </row>
    <row r="136" spans="1:3" ht="15.75" customHeight="1">
      <c r="A136" s="6"/>
      <c r="B136" s="6"/>
      <c r="C136" s="6"/>
    </row>
    <row r="137" spans="1:3" ht="15.75" customHeight="1">
      <c r="A137" s="6"/>
      <c r="B137" s="6"/>
      <c r="C137" s="6"/>
    </row>
    <row r="138" spans="1:3" ht="15.75" customHeight="1">
      <c r="A138" s="6"/>
      <c r="B138" s="6"/>
      <c r="C138" s="6"/>
    </row>
    <row r="139" spans="1:3" ht="15.75" customHeight="1">
      <c r="A139" s="6"/>
      <c r="B139" s="6"/>
      <c r="C139" s="6"/>
    </row>
    <row r="140" spans="1:3" ht="15.75" customHeight="1">
      <c r="A140" s="6"/>
      <c r="B140" s="6"/>
      <c r="C140" s="6"/>
    </row>
    <row r="141" spans="1:3" ht="15.75" customHeight="1">
      <c r="A141" s="6"/>
      <c r="B141" s="6"/>
      <c r="C141" s="6"/>
    </row>
    <row r="142" spans="1:3" ht="15.75" customHeight="1">
      <c r="A142" s="6"/>
      <c r="B142" s="6"/>
      <c r="C142" s="6"/>
    </row>
    <row r="143" spans="1:3" ht="15.75" customHeight="1">
      <c r="A143" s="6"/>
      <c r="B143" s="6"/>
      <c r="C143" s="6"/>
    </row>
    <row r="144" spans="1:3" ht="15.75" customHeight="1">
      <c r="A144" s="6"/>
      <c r="B144" s="6"/>
      <c r="C144" s="6"/>
    </row>
    <row r="145" spans="1:3" ht="15.75" customHeight="1">
      <c r="A145" s="6"/>
      <c r="B145" s="6"/>
      <c r="C145" s="6"/>
    </row>
    <row r="146" spans="1:3" ht="15.75" customHeight="1">
      <c r="A146" s="6"/>
      <c r="B146" s="6"/>
      <c r="C146" s="6"/>
    </row>
    <row r="147" spans="1:3" ht="15.75" customHeight="1">
      <c r="A147" s="6"/>
      <c r="B147" s="6"/>
      <c r="C147" s="6"/>
    </row>
    <row r="148" spans="1:3" ht="15.75" customHeight="1">
      <c r="A148" s="6"/>
      <c r="B148" s="6"/>
      <c r="C148" s="6"/>
    </row>
    <row r="149" spans="1:3" ht="15.75" customHeight="1">
      <c r="A149" s="6"/>
      <c r="B149" s="6"/>
      <c r="C149" s="6"/>
    </row>
    <row r="150" spans="1:3" ht="15.75" customHeight="1">
      <c r="A150" s="6"/>
      <c r="B150" s="6"/>
      <c r="C150" s="6"/>
    </row>
    <row r="151" spans="1:3" ht="15.75" customHeight="1">
      <c r="A151" s="6"/>
      <c r="B151" s="6"/>
      <c r="C151" s="6"/>
    </row>
    <row r="152" spans="1:3" ht="15.75" customHeight="1">
      <c r="A152" s="6"/>
      <c r="B152" s="6"/>
      <c r="C152" s="6"/>
    </row>
    <row r="153" spans="1:3" ht="15.75" customHeight="1">
      <c r="A153" s="6"/>
      <c r="B153" s="6"/>
      <c r="C153" s="6"/>
    </row>
    <row r="154" spans="1:3" ht="15.75" customHeight="1">
      <c r="A154" s="6"/>
      <c r="B154" s="6"/>
      <c r="C154" s="6"/>
    </row>
    <row r="155" spans="1:3" ht="15.75" customHeight="1">
      <c r="A155" s="6"/>
      <c r="B155" s="6"/>
      <c r="C155" s="6"/>
    </row>
    <row r="156" spans="1:3" ht="15.75" customHeight="1">
      <c r="A156" s="6"/>
      <c r="B156" s="6"/>
      <c r="C156" s="6"/>
    </row>
    <row r="157" spans="1:3" ht="15.75" customHeight="1">
      <c r="A157" s="6"/>
      <c r="B157" s="6"/>
      <c r="C157" s="6"/>
    </row>
    <row r="158" spans="1:3" ht="15.75" customHeight="1">
      <c r="A158" s="6"/>
      <c r="B158" s="6"/>
      <c r="C158" s="6"/>
    </row>
    <row r="159" spans="1:3" ht="15.75" customHeight="1">
      <c r="A159" s="6"/>
      <c r="B159" s="6"/>
      <c r="C159" s="6"/>
    </row>
    <row r="160" spans="1:3" ht="15.75" customHeight="1">
      <c r="A160" s="6"/>
      <c r="B160" s="6"/>
      <c r="C160" s="6"/>
    </row>
    <row r="161" spans="1:3" ht="15.75" customHeight="1">
      <c r="A161" s="6"/>
      <c r="B161" s="6"/>
      <c r="C161" s="6"/>
    </row>
    <row r="162" spans="1:3" ht="15.75" customHeight="1">
      <c r="A162" s="6"/>
      <c r="B162" s="6"/>
      <c r="C162" s="6"/>
    </row>
    <row r="163" spans="1:3" ht="15.75" customHeight="1">
      <c r="A163" s="6"/>
      <c r="B163" s="6"/>
      <c r="C163" s="6"/>
    </row>
    <row r="164" spans="1:3" ht="15.75" customHeight="1">
      <c r="A164" s="6"/>
      <c r="B164" s="6"/>
      <c r="C164" s="6"/>
    </row>
    <row r="165" spans="1:3" ht="15.75" customHeight="1">
      <c r="A165" s="6"/>
      <c r="B165" s="6"/>
      <c r="C165" s="6"/>
    </row>
    <row r="166" spans="1:3" ht="15.75" customHeight="1">
      <c r="A166" s="6"/>
      <c r="B166" s="6"/>
      <c r="C166" s="6"/>
    </row>
    <row r="167" spans="1:3" ht="15.75" customHeight="1">
      <c r="A167" s="6"/>
      <c r="B167" s="6"/>
      <c r="C167" s="6"/>
    </row>
    <row r="168" spans="1:3" ht="15.75" customHeight="1">
      <c r="A168" s="6"/>
      <c r="B168" s="6"/>
      <c r="C168" s="6"/>
    </row>
    <row r="169" spans="1:3" ht="15.75" customHeight="1">
      <c r="A169" s="6"/>
      <c r="B169" s="6"/>
      <c r="C169" s="6"/>
    </row>
    <row r="170" spans="1:3" ht="15.75" customHeight="1">
      <c r="A170" s="6"/>
      <c r="B170" s="6"/>
      <c r="C170" s="6"/>
    </row>
    <row r="171" spans="1:3" ht="15.75" customHeight="1">
      <c r="A171" s="6"/>
      <c r="B171" s="6"/>
      <c r="C171" s="6"/>
    </row>
    <row r="172" spans="1:3" ht="15.75" customHeight="1">
      <c r="A172" s="6"/>
      <c r="B172" s="6"/>
      <c r="C172" s="6"/>
    </row>
    <row r="173" spans="1:3" ht="15.75" customHeight="1">
      <c r="A173" s="6"/>
      <c r="B173" s="6"/>
      <c r="C173" s="6"/>
    </row>
    <row r="174" spans="1:3" ht="15.75" customHeight="1">
      <c r="A174" s="6"/>
      <c r="B174" s="6"/>
      <c r="C174" s="6"/>
    </row>
    <row r="175" spans="1:3" ht="15.75" customHeight="1">
      <c r="A175" s="6"/>
      <c r="B175" s="6"/>
      <c r="C175" s="6"/>
    </row>
    <row r="176" spans="1:3" ht="15.75" customHeight="1">
      <c r="A176" s="6"/>
      <c r="B176" s="6"/>
      <c r="C176" s="6"/>
    </row>
    <row r="177" spans="1:3" ht="15.75" customHeight="1">
      <c r="A177" s="6"/>
      <c r="B177" s="6"/>
      <c r="C177" s="6"/>
    </row>
    <row r="178" spans="1:3" ht="15.75" customHeight="1">
      <c r="A178" s="6"/>
      <c r="B178" s="6"/>
      <c r="C178" s="6"/>
    </row>
    <row r="179" spans="1:3" ht="15.75" customHeight="1">
      <c r="A179" s="6"/>
      <c r="B179" s="6"/>
      <c r="C179" s="6"/>
    </row>
    <row r="180" spans="1:3" ht="15.75" customHeight="1">
      <c r="A180" s="6"/>
      <c r="B180" s="6"/>
      <c r="C180" s="6"/>
    </row>
    <row r="181" spans="1:3" ht="15.75" customHeight="1">
      <c r="A181" s="6"/>
      <c r="B181" s="6"/>
      <c r="C181" s="6"/>
    </row>
    <row r="182" spans="1:3" ht="15.75" customHeight="1">
      <c r="A182" s="6"/>
      <c r="B182" s="6"/>
      <c r="C182" s="6"/>
    </row>
    <row r="183" spans="1:3" ht="15.75" customHeight="1">
      <c r="A183" s="6"/>
      <c r="B183" s="6"/>
      <c r="C183" s="6"/>
    </row>
    <row r="184" spans="1:3" ht="15.75" customHeight="1">
      <c r="A184" s="6"/>
      <c r="B184" s="6"/>
      <c r="C184" s="6"/>
    </row>
    <row r="185" spans="1:3" ht="15.75" customHeight="1">
      <c r="A185" s="6"/>
      <c r="B185" s="6"/>
      <c r="C185" s="6"/>
    </row>
    <row r="186" spans="1:3" ht="15.75" customHeight="1">
      <c r="A186" s="6"/>
      <c r="B186" s="6"/>
      <c r="C186" s="6"/>
    </row>
    <row r="187" spans="1:3" ht="15.75" customHeight="1">
      <c r="A187" s="6"/>
      <c r="B187" s="6"/>
      <c r="C187" s="6"/>
    </row>
    <row r="188" spans="1:3" ht="15.75" customHeight="1">
      <c r="A188" s="6"/>
      <c r="B188" s="6"/>
      <c r="C188" s="6"/>
    </row>
    <row r="189" spans="1:3" ht="15.75" customHeight="1">
      <c r="A189" s="6"/>
      <c r="B189" s="6"/>
      <c r="C189" s="6"/>
    </row>
    <row r="190" spans="1:3" ht="15.75" customHeight="1">
      <c r="A190" s="6"/>
      <c r="B190" s="6"/>
      <c r="C190" s="6"/>
    </row>
    <row r="191" spans="1:3" ht="15.75" customHeight="1">
      <c r="A191" s="6"/>
      <c r="B191" s="6"/>
      <c r="C191" s="6"/>
    </row>
    <row r="192" spans="1:3" ht="15.75" customHeight="1">
      <c r="A192" s="6"/>
      <c r="B192" s="6"/>
      <c r="C192" s="6"/>
    </row>
    <row r="193" spans="1:3" ht="15.75" customHeight="1">
      <c r="A193" s="6"/>
      <c r="B193" s="6"/>
      <c r="C193" s="6"/>
    </row>
    <row r="194" spans="1:3" ht="15.75" customHeight="1">
      <c r="A194" s="6"/>
      <c r="B194" s="6"/>
      <c r="C194" s="6"/>
    </row>
    <row r="195" spans="1:3" ht="15.75" customHeight="1">
      <c r="A195" s="6"/>
      <c r="B195" s="6"/>
      <c r="C195" s="6"/>
    </row>
    <row r="196" spans="1:3" ht="15.75" customHeight="1">
      <c r="A196" s="6"/>
      <c r="B196" s="6"/>
      <c r="C196" s="6"/>
    </row>
    <row r="197" spans="1:3" ht="15.75" customHeight="1">
      <c r="A197" s="6"/>
      <c r="B197" s="6"/>
      <c r="C197" s="6"/>
    </row>
    <row r="198" spans="1:3" ht="15.75" customHeight="1">
      <c r="A198" s="6"/>
      <c r="B198" s="6"/>
      <c r="C198" s="6"/>
    </row>
    <row r="199" spans="1:3" ht="15.75" customHeight="1">
      <c r="A199" s="6"/>
      <c r="B199" s="6"/>
      <c r="C199" s="6"/>
    </row>
    <row r="200" spans="1:3" ht="15.75" customHeight="1">
      <c r="A200" s="6"/>
      <c r="B200" s="6"/>
      <c r="C200" s="6"/>
    </row>
    <row r="201" spans="1:3" ht="15.75" customHeight="1">
      <c r="A201" s="6"/>
      <c r="B201" s="6"/>
      <c r="C201" s="6"/>
    </row>
    <row r="202" spans="1:3" ht="15.75" customHeight="1">
      <c r="A202" s="6"/>
      <c r="B202" s="6"/>
      <c r="C202" s="6"/>
    </row>
    <row r="203" spans="1:3" ht="15.75" customHeight="1">
      <c r="A203" s="6"/>
      <c r="B203" s="6"/>
      <c r="C203" s="6"/>
    </row>
    <row r="204" spans="1:3" ht="15.75" customHeight="1">
      <c r="A204" s="6"/>
      <c r="B204" s="6"/>
      <c r="C204" s="6"/>
    </row>
    <row r="205" spans="1:3" ht="15.75" customHeight="1">
      <c r="A205" s="6"/>
      <c r="B205" s="6"/>
      <c r="C205" s="6"/>
    </row>
    <row r="206" spans="1:3" ht="15.75" customHeight="1">
      <c r="A206" s="6"/>
      <c r="B206" s="6"/>
      <c r="C206" s="6"/>
    </row>
    <row r="207" spans="1:3" ht="15.75" customHeight="1">
      <c r="A207" s="6"/>
      <c r="B207" s="6"/>
      <c r="C207" s="6"/>
    </row>
    <row r="208" spans="1:3" ht="15.75" customHeight="1">
      <c r="A208" s="6"/>
      <c r="B208" s="6"/>
      <c r="C208" s="6"/>
    </row>
    <row r="209" spans="1:3" ht="15.75" customHeight="1">
      <c r="A209" s="6"/>
      <c r="B209" s="6"/>
      <c r="C209" s="6"/>
    </row>
    <row r="210" spans="1:3" ht="15.75" customHeight="1">
      <c r="A210" s="6"/>
      <c r="B210" s="6"/>
      <c r="C210" s="6"/>
    </row>
    <row r="211" spans="1:3" ht="15.75" customHeight="1">
      <c r="A211" s="6"/>
      <c r="B211" s="6"/>
      <c r="C211" s="6"/>
    </row>
    <row r="212" spans="1:3" ht="15.75" customHeight="1">
      <c r="A212" s="6"/>
      <c r="B212" s="6"/>
      <c r="C212" s="6"/>
    </row>
    <row r="213" spans="1:3" ht="15.75" customHeight="1">
      <c r="A213" s="6"/>
      <c r="B213" s="6"/>
      <c r="C213" s="6"/>
    </row>
    <row r="214" spans="1:3" ht="15.75" customHeight="1">
      <c r="A214" s="6"/>
      <c r="B214" s="6"/>
      <c r="C214" s="6"/>
    </row>
    <row r="215" spans="1:3" ht="15.75" customHeight="1">
      <c r="A215" s="6"/>
      <c r="B215" s="6"/>
      <c r="C215" s="6"/>
    </row>
    <row r="216" spans="1:3" ht="15.75" customHeight="1">
      <c r="A216" s="6"/>
      <c r="B216" s="6"/>
      <c r="C216" s="6"/>
    </row>
    <row r="217" spans="1:3" ht="15.75" customHeight="1">
      <c r="A217" s="6"/>
      <c r="B217" s="6"/>
      <c r="C217" s="6"/>
    </row>
    <row r="218" spans="1:3" ht="15.75" customHeight="1">
      <c r="A218" s="6"/>
      <c r="B218" s="6"/>
      <c r="C218" s="6"/>
    </row>
    <row r="219" spans="1:3" ht="15.75" customHeight="1">
      <c r="A219" s="6"/>
      <c r="B219" s="6"/>
      <c r="C219" s="6"/>
    </row>
    <row r="220" spans="1:3" ht="15.75" customHeight="1">
      <c r="A220" s="6"/>
      <c r="B220" s="6"/>
      <c r="C220" s="6"/>
    </row>
    <row r="221" spans="1:3" ht="15.75" customHeight="1">
      <c r="A221" s="6"/>
      <c r="B221" s="6"/>
      <c r="C221" s="6"/>
    </row>
    <row r="222" spans="1:3" ht="15.75" customHeight="1">
      <c r="A222" s="6"/>
      <c r="B222" s="6"/>
      <c r="C222" s="6"/>
    </row>
    <row r="223" spans="1:3" ht="15.75" customHeight="1">
      <c r="A223" s="6"/>
      <c r="B223" s="6"/>
      <c r="C223" s="6"/>
    </row>
    <row r="224" spans="1:3" ht="15.75" customHeight="1">
      <c r="A224" s="6"/>
      <c r="B224" s="6"/>
      <c r="C224" s="6"/>
    </row>
    <row r="225" spans="1:3" ht="15.75" customHeight="1">
      <c r="A225" s="6"/>
      <c r="B225" s="6"/>
      <c r="C225" s="6"/>
    </row>
    <row r="226" spans="1:3" ht="15.75" customHeight="1">
      <c r="A226" s="6"/>
      <c r="B226" s="6"/>
      <c r="C226" s="6"/>
    </row>
    <row r="227" spans="1:3" ht="15.75" customHeight="1">
      <c r="A227" s="6"/>
      <c r="B227" s="6"/>
      <c r="C227" s="6"/>
    </row>
    <row r="228" spans="1:3" ht="15.75" customHeight="1">
      <c r="A228" s="6"/>
      <c r="B228" s="6"/>
      <c r="C228" s="6"/>
    </row>
    <row r="229" spans="1:3" ht="15.75" customHeight="1">
      <c r="A229" s="6"/>
      <c r="B229" s="6"/>
      <c r="C229" s="6"/>
    </row>
    <row r="230" spans="1:3" ht="15.75" customHeight="1">
      <c r="A230" s="6"/>
      <c r="B230" s="6"/>
      <c r="C230" s="6"/>
    </row>
    <row r="231" spans="1:3" ht="15.75" customHeight="1">
      <c r="A231" s="6"/>
      <c r="B231" s="6"/>
      <c r="C231" s="6"/>
    </row>
    <row r="232" spans="1:3" ht="15.75" customHeight="1">
      <c r="A232" s="6"/>
      <c r="B232" s="6"/>
      <c r="C232" s="6"/>
    </row>
    <row r="233" spans="1:3" ht="15.75" customHeight="1">
      <c r="A233" s="6"/>
      <c r="B233" s="6"/>
      <c r="C233" s="6"/>
    </row>
    <row r="234" spans="1:3" ht="15.75" customHeight="1">
      <c r="A234" s="6"/>
      <c r="B234" s="6"/>
      <c r="C234" s="6"/>
    </row>
    <row r="235" spans="1:3" ht="15.75" customHeight="1">
      <c r="A235" s="6"/>
      <c r="B235" s="6"/>
      <c r="C235" s="6"/>
    </row>
    <row r="236" spans="1:3" ht="15.75" customHeight="1">
      <c r="A236" s="6"/>
      <c r="B236" s="6"/>
      <c r="C236" s="6"/>
    </row>
    <row r="237" spans="1:3" ht="15.75" customHeight="1">
      <c r="A237" s="6"/>
      <c r="B237" s="6"/>
      <c r="C237" s="6"/>
    </row>
    <row r="238" spans="1:3" ht="15.75" customHeight="1">
      <c r="A238" s="6"/>
      <c r="B238" s="6"/>
      <c r="C238" s="6"/>
    </row>
    <row r="239" spans="1:3" ht="15.75" customHeight="1">
      <c r="A239" s="6"/>
      <c r="B239" s="6"/>
      <c r="C239" s="6"/>
    </row>
    <row r="240" spans="1:3" ht="15.75" customHeight="1">
      <c r="A240" s="6"/>
      <c r="B240" s="6"/>
      <c r="C240" s="6"/>
    </row>
    <row r="241" spans="1:3" ht="15.75" customHeight="1">
      <c r="A241" s="6"/>
      <c r="B241" s="6"/>
      <c r="C241" s="6"/>
    </row>
    <row r="242" spans="1:3" ht="15.75" customHeight="1">
      <c r="A242" s="6"/>
      <c r="B242" s="6"/>
      <c r="C242" s="6"/>
    </row>
    <row r="243" spans="1:3" ht="15.75" customHeight="1">
      <c r="A243" s="6"/>
      <c r="B243" s="6"/>
      <c r="C243" s="6"/>
    </row>
    <row r="244" spans="1:3" ht="15.75" customHeight="1">
      <c r="A244" s="6"/>
      <c r="B244" s="6"/>
      <c r="C244" s="6"/>
    </row>
    <row r="245" spans="1:3" ht="15.75" customHeight="1">
      <c r="A245" s="6"/>
      <c r="B245" s="6"/>
      <c r="C245" s="6"/>
    </row>
    <row r="246" spans="1:3" ht="15.75" customHeight="1">
      <c r="A246" s="6"/>
      <c r="B246" s="6"/>
      <c r="C246" s="6"/>
    </row>
    <row r="247" spans="1:3" ht="15.75" customHeight="1">
      <c r="A247" s="6"/>
      <c r="B247" s="6"/>
      <c r="C247" s="6"/>
    </row>
    <row r="248" spans="1:3" ht="15.75" customHeight="1">
      <c r="A248" s="6"/>
      <c r="B248" s="6"/>
      <c r="C248" s="6"/>
    </row>
    <row r="249" spans="1:3" ht="15.75" customHeight="1">
      <c r="A249" s="6"/>
      <c r="B249" s="6"/>
      <c r="C249" s="6"/>
    </row>
    <row r="250" spans="1:3" ht="15.75" customHeight="1">
      <c r="A250" s="6"/>
      <c r="B250" s="6"/>
      <c r="C250" s="6"/>
    </row>
    <row r="251" spans="1:3" ht="15.75" customHeight="1">
      <c r="A251" s="6"/>
      <c r="B251" s="6"/>
      <c r="C251" s="6"/>
    </row>
    <row r="252" spans="1:3" ht="15.75" customHeight="1">
      <c r="A252" s="6"/>
      <c r="B252" s="6"/>
      <c r="C252" s="6"/>
    </row>
    <row r="253" spans="1:3" ht="15.75" customHeight="1">
      <c r="A253" s="6"/>
      <c r="B253" s="6"/>
      <c r="C253" s="6"/>
    </row>
    <row r="254" spans="1:3" ht="15.75" customHeight="1">
      <c r="A254" s="6"/>
      <c r="B254" s="6"/>
      <c r="C254" s="6"/>
    </row>
    <row r="255" spans="1:3" ht="15.75" customHeight="1">
      <c r="A255" s="6"/>
      <c r="B255" s="6"/>
      <c r="C255" s="6"/>
    </row>
    <row r="256" spans="1:3" ht="15.75" customHeight="1">
      <c r="A256" s="6"/>
      <c r="B256" s="6"/>
      <c r="C256" s="6"/>
    </row>
    <row r="257" spans="1:3" ht="15.75" customHeight="1">
      <c r="A257" s="6"/>
      <c r="B257" s="6"/>
      <c r="C257" s="6"/>
    </row>
    <row r="258" spans="1:3" ht="15.75" customHeight="1">
      <c r="A258" s="6"/>
      <c r="B258" s="6"/>
      <c r="C258" s="6"/>
    </row>
    <row r="259" spans="1:3" ht="15.75" customHeight="1">
      <c r="A259" s="6"/>
      <c r="B259" s="6"/>
      <c r="C259" s="6"/>
    </row>
    <row r="260" spans="1:3" ht="15.75" customHeight="1">
      <c r="A260" s="6"/>
      <c r="B260" s="6"/>
      <c r="C260" s="6"/>
    </row>
    <row r="261" spans="1:3" ht="15.75" customHeight="1">
      <c r="A261" s="6"/>
      <c r="B261" s="6"/>
      <c r="C261" s="6"/>
    </row>
    <row r="262" spans="1:3" ht="15.75" customHeight="1">
      <c r="A262" s="6"/>
      <c r="B262" s="6"/>
      <c r="C262" s="6"/>
    </row>
    <row r="263" spans="1:3" ht="15.75" customHeight="1">
      <c r="A263" s="6"/>
      <c r="B263" s="6"/>
      <c r="C263" s="6"/>
    </row>
    <row r="264" spans="1:3" ht="15.75" customHeight="1">
      <c r="A264" s="6"/>
      <c r="B264" s="6"/>
      <c r="C264" s="6"/>
    </row>
    <row r="265" spans="1:3" ht="15.75" customHeight="1">
      <c r="A265" s="6"/>
      <c r="B265" s="6"/>
      <c r="C265" s="6"/>
    </row>
    <row r="266" spans="1:3" ht="15.75" customHeight="1">
      <c r="A266" s="6"/>
      <c r="B266" s="6"/>
      <c r="C266" s="6"/>
    </row>
    <row r="267" spans="1:3" ht="15.75" customHeight="1">
      <c r="A267" s="6"/>
      <c r="B267" s="6"/>
      <c r="C267" s="6"/>
    </row>
    <row r="268" spans="1:3" ht="15.75" customHeight="1">
      <c r="A268" s="6"/>
      <c r="B268" s="6"/>
      <c r="C268" s="6"/>
    </row>
    <row r="269" spans="1:3" ht="15.75" customHeight="1">
      <c r="A269" s="6"/>
      <c r="B269" s="6"/>
      <c r="C269" s="6"/>
    </row>
    <row r="270" spans="1:3" ht="15.75" customHeight="1">
      <c r="A270" s="6"/>
      <c r="B270" s="6"/>
      <c r="C270" s="6"/>
    </row>
    <row r="271" spans="1:3" ht="15.75" customHeight="1">
      <c r="A271" s="6"/>
      <c r="B271" s="6"/>
      <c r="C271" s="6"/>
    </row>
    <row r="272" spans="1:3" ht="15.75" customHeight="1">
      <c r="A272" s="6"/>
      <c r="B272" s="6"/>
      <c r="C272" s="6"/>
    </row>
    <row r="273" spans="1:3" ht="15.75" customHeight="1">
      <c r="A273" s="6"/>
      <c r="B273" s="6"/>
      <c r="C273" s="6"/>
    </row>
    <row r="274" spans="1:3" ht="15.75" customHeight="1">
      <c r="A274" s="6"/>
      <c r="B274" s="6"/>
      <c r="C274" s="6"/>
    </row>
    <row r="275" spans="1:3" ht="15.75" customHeight="1">
      <c r="A275" s="6"/>
      <c r="B275" s="6"/>
      <c r="C275" s="6"/>
    </row>
    <row r="276" spans="1:3" ht="15.75" customHeight="1">
      <c r="A276" s="6"/>
      <c r="B276" s="6"/>
      <c r="C276" s="6"/>
    </row>
    <row r="277" spans="1:3" ht="15.75" customHeight="1">
      <c r="A277" s="6"/>
      <c r="B277" s="6"/>
      <c r="C277" s="6"/>
    </row>
    <row r="278" spans="1:3" ht="15.75" customHeight="1">
      <c r="A278" s="6"/>
      <c r="B278" s="6"/>
      <c r="C278" s="6"/>
    </row>
    <row r="279" spans="1:3" ht="15.75" customHeight="1">
      <c r="A279" s="6"/>
      <c r="B279" s="6"/>
      <c r="C279" s="6"/>
    </row>
    <row r="280" spans="1:3" ht="15.75" customHeight="1">
      <c r="A280" s="6"/>
      <c r="B280" s="6"/>
      <c r="C280" s="6"/>
    </row>
    <row r="281" spans="1:3" ht="15.75" customHeight="1">
      <c r="A281" s="6"/>
      <c r="B281" s="6"/>
      <c r="C281" s="6"/>
    </row>
    <row r="282" spans="1:3" ht="15.75" customHeight="1">
      <c r="A282" s="6"/>
      <c r="B282" s="6"/>
      <c r="C282" s="6"/>
    </row>
    <row r="283" spans="1:3" ht="15.75" customHeight="1">
      <c r="A283" s="6"/>
      <c r="B283" s="6"/>
      <c r="C283" s="6"/>
    </row>
    <row r="284" spans="1:3" ht="15.75" customHeight="1">
      <c r="A284" s="6"/>
      <c r="B284" s="6"/>
      <c r="C284" s="6"/>
    </row>
    <row r="285" spans="1:3" ht="15.75" customHeight="1">
      <c r="A285" s="6"/>
      <c r="B285" s="6"/>
      <c r="C285" s="6"/>
    </row>
    <row r="286" spans="1:3" ht="15.75" customHeight="1">
      <c r="A286" s="6"/>
      <c r="B286" s="6"/>
      <c r="C286" s="6"/>
    </row>
    <row r="287" spans="1:3" ht="15.75" customHeight="1">
      <c r="A287" s="6"/>
      <c r="B287" s="6"/>
      <c r="C287" s="6"/>
    </row>
    <row r="288" spans="1:3" ht="15.75" customHeight="1">
      <c r="A288" s="6"/>
      <c r="B288" s="6"/>
      <c r="C288" s="6"/>
    </row>
    <row r="289" spans="1:3" ht="15.75" customHeight="1">
      <c r="A289" s="6"/>
      <c r="B289" s="6"/>
      <c r="C289" s="6"/>
    </row>
    <row r="290" spans="1:3" ht="15.75" customHeight="1">
      <c r="A290" s="6"/>
      <c r="B290" s="6"/>
      <c r="C290" s="6"/>
    </row>
    <row r="291" spans="1:3" ht="15.75" customHeight="1">
      <c r="A291" s="6"/>
      <c r="B291" s="6"/>
      <c r="C291" s="6"/>
    </row>
    <row r="292" spans="1:3" ht="15.75" customHeight="1">
      <c r="A292" s="6"/>
      <c r="B292" s="6"/>
      <c r="C292" s="6"/>
    </row>
    <row r="293" spans="1:3" ht="15.75" customHeight="1">
      <c r="A293" s="6"/>
      <c r="B293" s="6"/>
      <c r="C293" s="6"/>
    </row>
    <row r="294" spans="1:3" ht="15.75" customHeight="1">
      <c r="A294" s="6"/>
      <c r="B294" s="6"/>
      <c r="C294" s="6"/>
    </row>
    <row r="295" spans="1:3" ht="15.75" customHeight="1">
      <c r="A295" s="6"/>
      <c r="B295" s="6"/>
      <c r="C295" s="6"/>
    </row>
    <row r="296" spans="1:3" ht="15.75" customHeight="1">
      <c r="A296" s="6"/>
      <c r="B296" s="6"/>
      <c r="C296" s="6"/>
    </row>
    <row r="297" spans="1:3" ht="15.75" customHeight="1">
      <c r="A297" s="6"/>
      <c r="B297" s="6"/>
      <c r="C297" s="6"/>
    </row>
    <row r="298" spans="1:3" ht="15.75" customHeight="1">
      <c r="A298" s="6"/>
      <c r="B298" s="6"/>
      <c r="C298" s="6"/>
    </row>
    <row r="299" spans="1:3" ht="15.75" customHeight="1">
      <c r="A299" s="6"/>
      <c r="B299" s="6"/>
      <c r="C299" s="6"/>
    </row>
    <row r="300" spans="1:3" ht="15.75" customHeight="1">
      <c r="A300" s="6"/>
      <c r="B300" s="6"/>
      <c r="C300" s="6"/>
    </row>
    <row r="301" spans="1:3" ht="15.75" customHeight="1">
      <c r="A301" s="6"/>
      <c r="B301" s="6"/>
      <c r="C301" s="6"/>
    </row>
    <row r="302" spans="1:3" ht="15.75" customHeight="1">
      <c r="A302" s="6"/>
      <c r="B302" s="6"/>
      <c r="C302" s="6"/>
    </row>
    <row r="303" spans="1:3" ht="15.75" customHeight="1">
      <c r="A303" s="6"/>
      <c r="B303" s="6"/>
      <c r="C303" s="6"/>
    </row>
    <row r="304" spans="1:3" ht="15.75" customHeight="1">
      <c r="A304" s="6"/>
      <c r="B304" s="6"/>
      <c r="C304" s="6"/>
    </row>
    <row r="305" spans="1:3" ht="15.75" customHeight="1">
      <c r="A305" s="6"/>
      <c r="B305" s="6"/>
      <c r="C305" s="6"/>
    </row>
    <row r="306" spans="1:3" ht="15.75" customHeight="1">
      <c r="A306" s="6"/>
      <c r="B306" s="6"/>
      <c r="C306" s="6"/>
    </row>
    <row r="307" spans="1:3" ht="15.75" customHeight="1">
      <c r="A307" s="6"/>
      <c r="B307" s="6"/>
      <c r="C307" s="6"/>
    </row>
    <row r="308" spans="1:3" ht="15.75" customHeight="1">
      <c r="A308" s="6"/>
      <c r="B308" s="6"/>
      <c r="C308" s="6"/>
    </row>
    <row r="309" spans="1:3" ht="15.75" customHeight="1">
      <c r="A309" s="6"/>
      <c r="B309" s="6"/>
      <c r="C309" s="6"/>
    </row>
    <row r="310" spans="1:3" ht="15.75" customHeight="1">
      <c r="A310" s="6"/>
      <c r="B310" s="6"/>
      <c r="C310" s="6"/>
    </row>
    <row r="311" spans="1:3" ht="15.75" customHeight="1">
      <c r="A311" s="6"/>
      <c r="B311" s="6"/>
      <c r="C311" s="6"/>
    </row>
    <row r="312" spans="1:3" ht="15.75" customHeight="1">
      <c r="A312" s="6"/>
      <c r="B312" s="6"/>
      <c r="C312" s="6"/>
    </row>
    <row r="313" spans="1:3" ht="15.75" customHeight="1">
      <c r="A313" s="6"/>
      <c r="B313" s="6"/>
      <c r="C313" s="6"/>
    </row>
    <row r="314" spans="1:3" ht="15.75" customHeight="1">
      <c r="A314" s="6"/>
      <c r="B314" s="6"/>
      <c r="C314" s="6"/>
    </row>
    <row r="315" spans="1:3" ht="15.75" customHeight="1">
      <c r="A315" s="6"/>
      <c r="B315" s="6"/>
      <c r="C315" s="6"/>
    </row>
    <row r="316" spans="1:3" ht="15.75" customHeight="1">
      <c r="A316" s="6"/>
      <c r="B316" s="6"/>
      <c r="C316" s="6"/>
    </row>
    <row r="317" spans="1:3" ht="15.75" customHeight="1">
      <c r="A317" s="6"/>
      <c r="B317" s="6"/>
      <c r="C317" s="6"/>
    </row>
    <row r="318" spans="1:3" ht="15.75" customHeight="1">
      <c r="A318" s="6"/>
      <c r="B318" s="6"/>
      <c r="C318" s="6"/>
    </row>
    <row r="319" spans="1:3" ht="15.75" customHeight="1">
      <c r="A319" s="6"/>
      <c r="B319" s="6"/>
      <c r="C319" s="6"/>
    </row>
    <row r="320" spans="1:3" ht="15.75" customHeight="1">
      <c r="A320" s="6"/>
      <c r="B320" s="6"/>
      <c r="C320" s="6"/>
    </row>
    <row r="321" spans="1:3" ht="15.75" customHeight="1">
      <c r="A321" s="6"/>
      <c r="B321" s="6"/>
      <c r="C321" s="6"/>
    </row>
    <row r="322" spans="1:3" ht="15.75" customHeight="1">
      <c r="A322" s="6"/>
      <c r="B322" s="6"/>
      <c r="C322" s="6"/>
    </row>
    <row r="323" spans="1:3" ht="15.75" customHeight="1">
      <c r="A323" s="6"/>
      <c r="B323" s="6"/>
      <c r="C323" s="6"/>
    </row>
    <row r="324" spans="1:3" ht="15.75" customHeight="1">
      <c r="A324" s="6"/>
      <c r="B324" s="6"/>
      <c r="C324" s="6"/>
    </row>
    <row r="325" spans="1:3" ht="15.75" customHeight="1">
      <c r="A325" s="6"/>
      <c r="B325" s="6"/>
      <c r="C325" s="6"/>
    </row>
    <row r="326" spans="1:3" ht="15.75" customHeight="1">
      <c r="A326" s="6"/>
      <c r="B326" s="6"/>
      <c r="C326" s="6"/>
    </row>
    <row r="327" spans="1:3" ht="15.75" customHeight="1">
      <c r="A327" s="6"/>
      <c r="B327" s="6"/>
      <c r="C327" s="6"/>
    </row>
    <row r="328" spans="1:3" ht="15.75" customHeight="1">
      <c r="A328" s="6"/>
      <c r="B328" s="6"/>
      <c r="C328" s="6"/>
    </row>
    <row r="329" spans="1:3" ht="15.75" customHeight="1">
      <c r="A329" s="6"/>
      <c r="B329" s="6"/>
      <c r="C329" s="6"/>
    </row>
    <row r="330" spans="1:3" ht="15.75" customHeight="1">
      <c r="A330" s="6"/>
      <c r="B330" s="6"/>
      <c r="C330" s="6"/>
    </row>
    <row r="331" spans="1:3" ht="15.75" customHeight="1">
      <c r="A331" s="6"/>
      <c r="B331" s="6"/>
      <c r="C331" s="6"/>
    </row>
    <row r="332" spans="1:3" ht="15.75" customHeight="1">
      <c r="A332" s="6"/>
      <c r="B332" s="6"/>
      <c r="C332" s="6"/>
    </row>
    <row r="333" spans="1:3" ht="15.75" customHeight="1">
      <c r="A333" s="6"/>
      <c r="B333" s="6"/>
      <c r="C333" s="6"/>
    </row>
    <row r="334" spans="1:3" ht="15.75" customHeight="1">
      <c r="A334" s="6"/>
      <c r="B334" s="6"/>
      <c r="C334" s="6"/>
    </row>
    <row r="335" spans="1:3" ht="15.75" customHeight="1">
      <c r="A335" s="6"/>
      <c r="B335" s="6"/>
      <c r="C335" s="6"/>
    </row>
    <row r="336" spans="1:3" ht="15.75" customHeight="1">
      <c r="A336" s="6"/>
      <c r="B336" s="6"/>
      <c r="C336" s="6"/>
    </row>
    <row r="337" spans="1:3" ht="15.75" customHeight="1">
      <c r="A337" s="6"/>
      <c r="B337" s="6"/>
      <c r="C337" s="6"/>
    </row>
    <row r="338" spans="1:3" ht="15.75" customHeight="1">
      <c r="A338" s="6"/>
      <c r="B338" s="6"/>
      <c r="C338" s="6"/>
    </row>
    <row r="339" spans="1:3" ht="15.75" customHeight="1">
      <c r="A339" s="6"/>
      <c r="B339" s="6"/>
      <c r="C339" s="6"/>
    </row>
    <row r="340" spans="1:3" ht="15.75" customHeight="1">
      <c r="A340" s="6"/>
      <c r="B340" s="6"/>
      <c r="C340" s="6"/>
    </row>
    <row r="341" spans="1:3" ht="15.75" customHeight="1">
      <c r="A341" s="6"/>
      <c r="B341" s="6"/>
      <c r="C341" s="6"/>
    </row>
    <row r="342" spans="1:3" ht="15.75" customHeight="1">
      <c r="A342" s="6"/>
      <c r="B342" s="6"/>
      <c r="C342" s="6"/>
    </row>
    <row r="343" spans="1:3" ht="15.75" customHeight="1">
      <c r="A343" s="6"/>
      <c r="B343" s="6"/>
      <c r="C343" s="6"/>
    </row>
    <row r="344" spans="1:3" ht="15.75" customHeight="1">
      <c r="A344" s="6"/>
      <c r="B344" s="6"/>
      <c r="C344" s="6"/>
    </row>
    <row r="345" spans="1:3" ht="15.75" customHeight="1">
      <c r="A345" s="6"/>
      <c r="B345" s="6"/>
      <c r="C345" s="6"/>
    </row>
    <row r="346" spans="1:3" ht="15.75" customHeight="1">
      <c r="A346" s="6"/>
      <c r="B346" s="6"/>
      <c r="C346" s="6"/>
    </row>
    <row r="347" spans="1:3" ht="15.75" customHeight="1">
      <c r="A347" s="6"/>
      <c r="B347" s="6"/>
      <c r="C347" s="6"/>
    </row>
    <row r="348" spans="1:3" ht="15.75" customHeight="1">
      <c r="A348" s="6"/>
      <c r="B348" s="6"/>
      <c r="C348" s="6"/>
    </row>
    <row r="349" spans="1:3" ht="15.75" customHeight="1">
      <c r="A349" s="6"/>
      <c r="B349" s="6"/>
      <c r="C349" s="6"/>
    </row>
    <row r="350" spans="1:3" ht="15.75" customHeight="1">
      <c r="A350" s="6"/>
      <c r="B350" s="6"/>
      <c r="C350" s="6"/>
    </row>
    <row r="351" spans="1:3" ht="15.75" customHeight="1">
      <c r="A351" s="6"/>
      <c r="B351" s="6"/>
      <c r="C351" s="6"/>
    </row>
    <row r="352" spans="1:3" ht="15.75" customHeight="1">
      <c r="A352" s="6"/>
      <c r="B352" s="6"/>
      <c r="C352" s="6"/>
    </row>
    <row r="353" spans="1:3" ht="15.75" customHeight="1">
      <c r="A353" s="6"/>
      <c r="B353" s="6"/>
      <c r="C353" s="6"/>
    </row>
    <row r="354" spans="1:3" ht="15.75" customHeight="1">
      <c r="A354" s="6"/>
      <c r="B354" s="6"/>
      <c r="C354" s="6"/>
    </row>
    <row r="355" spans="1:3" ht="15.75" customHeight="1">
      <c r="A355" s="6"/>
      <c r="B355" s="6"/>
      <c r="C355" s="6"/>
    </row>
    <row r="356" spans="1:3" ht="15.75" customHeight="1">
      <c r="A356" s="6"/>
      <c r="B356" s="6"/>
      <c r="C356" s="6"/>
    </row>
    <row r="357" spans="1:3" ht="15.75" customHeight="1">
      <c r="A357" s="6"/>
      <c r="B357" s="6"/>
      <c r="C357" s="6"/>
    </row>
    <row r="358" spans="1:3" ht="15.75" customHeight="1">
      <c r="A358" s="6"/>
      <c r="B358" s="6"/>
      <c r="C358" s="6"/>
    </row>
    <row r="359" spans="1:3" ht="15.75" customHeight="1">
      <c r="A359" s="6"/>
      <c r="B359" s="6"/>
      <c r="C359" s="6"/>
    </row>
    <row r="360" spans="1:3" ht="15.75" customHeight="1">
      <c r="A360" s="6"/>
      <c r="B360" s="6"/>
      <c r="C360" s="6"/>
    </row>
    <row r="361" spans="1:3" ht="15.75" customHeight="1">
      <c r="A361" s="6"/>
      <c r="B361" s="6"/>
      <c r="C361" s="6"/>
    </row>
    <row r="362" spans="1:3" ht="15.75" customHeight="1">
      <c r="A362" s="6"/>
      <c r="B362" s="6"/>
      <c r="C362" s="6"/>
    </row>
    <row r="363" spans="1:3" ht="15.75" customHeight="1">
      <c r="A363" s="6"/>
      <c r="B363" s="6"/>
      <c r="C363" s="6"/>
    </row>
    <row r="364" spans="1:3" ht="15.75" customHeight="1">
      <c r="A364" s="6"/>
      <c r="B364" s="6"/>
      <c r="C364" s="6"/>
    </row>
    <row r="365" spans="1:3" ht="15.75" customHeight="1">
      <c r="A365" s="6"/>
      <c r="B365" s="6"/>
      <c r="C365" s="6"/>
    </row>
    <row r="366" spans="1:3" ht="15.75" customHeight="1">
      <c r="A366" s="6"/>
      <c r="B366" s="6"/>
      <c r="C366" s="6"/>
    </row>
    <row r="367" spans="1:3" ht="15.75" customHeight="1">
      <c r="A367" s="6"/>
      <c r="B367" s="6"/>
      <c r="C367" s="6"/>
    </row>
    <row r="368" spans="1:3" ht="15.75" customHeight="1">
      <c r="A368" s="6"/>
      <c r="B368" s="6"/>
      <c r="C368" s="6"/>
    </row>
    <row r="369" spans="1:3" ht="15.75" customHeight="1">
      <c r="A369" s="6"/>
      <c r="B369" s="6"/>
      <c r="C369" s="6"/>
    </row>
    <row r="370" spans="1:3" ht="15.75" customHeight="1">
      <c r="A370" s="6"/>
      <c r="B370" s="6"/>
      <c r="C370" s="6"/>
    </row>
    <row r="371" spans="1:3" ht="15.75" customHeight="1">
      <c r="A371" s="6"/>
      <c r="B371" s="6"/>
      <c r="C371" s="6"/>
    </row>
    <row r="372" spans="1:3" ht="15.75" customHeight="1">
      <c r="A372" s="6"/>
      <c r="B372" s="6"/>
      <c r="C372" s="6"/>
    </row>
    <row r="373" spans="1:3" ht="15.75" customHeight="1">
      <c r="A373" s="6"/>
      <c r="B373" s="6"/>
      <c r="C373" s="6"/>
    </row>
    <row r="374" spans="1:3" ht="15.75" customHeight="1">
      <c r="A374" s="6"/>
      <c r="B374" s="6"/>
      <c r="C374" s="6"/>
    </row>
    <row r="375" spans="1:3" ht="15.75" customHeight="1">
      <c r="A375" s="6"/>
      <c r="B375" s="6"/>
      <c r="C375" s="6"/>
    </row>
    <row r="376" spans="1:3" ht="15.75" customHeight="1">
      <c r="A376" s="6"/>
      <c r="B376" s="6"/>
      <c r="C376" s="6"/>
    </row>
    <row r="377" spans="1:3" ht="15.75" customHeight="1">
      <c r="A377" s="6"/>
      <c r="B377" s="6"/>
      <c r="C377" s="6"/>
    </row>
    <row r="378" spans="1:3" ht="15.75" customHeight="1">
      <c r="A378" s="6"/>
      <c r="B378" s="6"/>
      <c r="C378" s="6"/>
    </row>
    <row r="379" spans="1:3" ht="15.75" customHeight="1">
      <c r="A379" s="6"/>
      <c r="B379" s="6"/>
      <c r="C379" s="6"/>
    </row>
    <row r="380" spans="1:3" ht="15.75" customHeight="1">
      <c r="A380" s="6"/>
      <c r="B380" s="6"/>
      <c r="C380" s="6"/>
    </row>
    <row r="381" spans="1:3" ht="15.75" customHeight="1">
      <c r="A381" s="6"/>
      <c r="B381" s="6"/>
      <c r="C381" s="6"/>
    </row>
    <row r="382" spans="1:3" ht="15.75" customHeight="1">
      <c r="A382" s="6"/>
      <c r="B382" s="6"/>
      <c r="C382" s="6"/>
    </row>
    <row r="383" spans="1:3" ht="15.75" customHeight="1">
      <c r="A383" s="6"/>
      <c r="B383" s="6"/>
      <c r="C383" s="6"/>
    </row>
    <row r="384" spans="1:3" ht="15.75" customHeight="1">
      <c r="A384" s="6"/>
      <c r="B384" s="6"/>
      <c r="C384" s="6"/>
    </row>
    <row r="385" spans="1:3" ht="15.75" customHeight="1">
      <c r="A385" s="6"/>
      <c r="B385" s="6"/>
      <c r="C385" s="6"/>
    </row>
    <row r="386" spans="1:3" ht="15.75" customHeight="1">
      <c r="A386" s="6"/>
      <c r="B386" s="6"/>
      <c r="C386" s="6"/>
    </row>
    <row r="387" spans="1:3" ht="15.75" customHeight="1">
      <c r="A387" s="6"/>
      <c r="B387" s="6"/>
      <c r="C387" s="6"/>
    </row>
    <row r="388" spans="1:3" ht="15.75" customHeight="1">
      <c r="A388" s="6"/>
      <c r="B388" s="6"/>
      <c r="C388" s="6"/>
    </row>
    <row r="389" spans="1:3" ht="15.75" customHeight="1">
      <c r="A389" s="6"/>
      <c r="B389" s="6"/>
      <c r="C389" s="6"/>
    </row>
    <row r="390" spans="1:3" ht="15.75" customHeight="1">
      <c r="A390" s="6"/>
      <c r="B390" s="6"/>
      <c r="C390" s="6"/>
    </row>
    <row r="391" spans="1:3" ht="15.75" customHeight="1">
      <c r="A391" s="6"/>
      <c r="B391" s="6"/>
      <c r="C391" s="6"/>
    </row>
    <row r="392" spans="1:3" ht="15.75" customHeight="1">
      <c r="A392" s="6"/>
      <c r="B392" s="6"/>
      <c r="C392" s="6"/>
    </row>
    <row r="393" spans="1:3" ht="15.75" customHeight="1">
      <c r="A393" s="6"/>
      <c r="B393" s="6"/>
      <c r="C393" s="6"/>
    </row>
    <row r="394" spans="1:3" ht="15.75" customHeight="1">
      <c r="A394" s="6"/>
      <c r="B394" s="6"/>
      <c r="C394" s="6"/>
    </row>
    <row r="395" spans="1:3" ht="15.75" customHeight="1">
      <c r="A395" s="6"/>
      <c r="B395" s="6"/>
      <c r="C395" s="6"/>
    </row>
    <row r="396" spans="1:3" ht="15.75" customHeight="1">
      <c r="A396" s="6"/>
      <c r="B396" s="6"/>
      <c r="C396" s="6"/>
    </row>
    <row r="397" spans="1:3" ht="15.75" customHeight="1">
      <c r="A397" s="6"/>
      <c r="B397" s="6"/>
      <c r="C397" s="6"/>
    </row>
    <row r="398" spans="1:3" ht="15.75" customHeight="1">
      <c r="A398" s="6"/>
      <c r="B398" s="6"/>
      <c r="C398" s="6"/>
    </row>
    <row r="399" spans="1:3" ht="15.75" customHeight="1">
      <c r="A399" s="6"/>
      <c r="B399" s="6"/>
      <c r="C399" s="6"/>
    </row>
    <row r="400" spans="1:3" ht="15.75" customHeight="1">
      <c r="A400" s="6"/>
      <c r="B400" s="6"/>
      <c r="C400" s="6"/>
    </row>
    <row r="401" spans="1:3" ht="15.75" customHeight="1">
      <c r="A401" s="6"/>
      <c r="B401" s="6"/>
      <c r="C401" s="6"/>
    </row>
    <row r="402" spans="1:3" ht="15.75" customHeight="1">
      <c r="A402" s="6"/>
      <c r="B402" s="6"/>
      <c r="C402" s="6"/>
    </row>
    <row r="403" spans="1:3" ht="15.75" customHeight="1">
      <c r="A403" s="6"/>
      <c r="B403" s="6"/>
      <c r="C403" s="6"/>
    </row>
    <row r="404" spans="1:3" ht="15.75" customHeight="1">
      <c r="A404" s="6"/>
      <c r="B404" s="6"/>
      <c r="C404" s="6"/>
    </row>
    <row r="405" spans="1:3" ht="15.75" customHeight="1">
      <c r="A405" s="6"/>
      <c r="B405" s="6"/>
      <c r="C405" s="6"/>
    </row>
    <row r="406" spans="1:3" ht="15.75" customHeight="1">
      <c r="A406" s="6"/>
      <c r="B406" s="6"/>
      <c r="C406" s="6"/>
    </row>
    <row r="407" spans="1:3" ht="15.75" customHeight="1">
      <c r="A407" s="6"/>
      <c r="B407" s="6"/>
      <c r="C407" s="6"/>
    </row>
    <row r="408" spans="1:3" ht="15.75" customHeight="1">
      <c r="A408" s="6"/>
      <c r="B408" s="6"/>
      <c r="C408" s="6"/>
    </row>
    <row r="409" spans="1:3" ht="15.75" customHeight="1">
      <c r="A409" s="6"/>
      <c r="B409" s="6"/>
      <c r="C409" s="6"/>
    </row>
    <row r="410" spans="1:3" ht="15.75" customHeight="1">
      <c r="A410" s="6"/>
      <c r="B410" s="6"/>
      <c r="C410" s="6"/>
    </row>
    <row r="411" spans="1:3" ht="15.75" customHeight="1">
      <c r="A411" s="6"/>
      <c r="B411" s="6"/>
      <c r="C411" s="6"/>
    </row>
    <row r="412" spans="1:3" ht="15.75" customHeight="1">
      <c r="A412" s="6"/>
      <c r="B412" s="6"/>
      <c r="C412" s="6"/>
    </row>
    <row r="413" spans="1:3" ht="15.75" customHeight="1">
      <c r="A413" s="6"/>
      <c r="B413" s="6"/>
      <c r="C413" s="6"/>
    </row>
    <row r="414" spans="1:3" ht="15.75" customHeight="1">
      <c r="A414" s="6"/>
      <c r="B414" s="6"/>
      <c r="C414" s="6"/>
    </row>
    <row r="415" spans="1:3" ht="15.75" customHeight="1">
      <c r="A415" s="6"/>
      <c r="B415" s="6"/>
      <c r="C415" s="6"/>
    </row>
    <row r="416" spans="1:3" ht="15.75" customHeight="1">
      <c r="A416" s="6"/>
      <c r="B416" s="6"/>
      <c r="C416" s="6"/>
    </row>
    <row r="417" spans="1:3" ht="15.75" customHeight="1">
      <c r="A417" s="6"/>
      <c r="B417" s="6"/>
      <c r="C417" s="6"/>
    </row>
    <row r="418" spans="1:3" ht="15.75" customHeight="1">
      <c r="A418" s="6"/>
      <c r="B418" s="6"/>
      <c r="C418" s="6"/>
    </row>
    <row r="419" spans="1:3" ht="15.75" customHeight="1">
      <c r="A419" s="6"/>
      <c r="B419" s="6"/>
      <c r="C419" s="6"/>
    </row>
    <row r="420" spans="1:3" ht="15.75" customHeight="1">
      <c r="A420" s="6"/>
      <c r="B420" s="6"/>
      <c r="C420" s="6"/>
    </row>
    <row r="421" spans="1:3" ht="15.75" customHeight="1">
      <c r="A421" s="6"/>
      <c r="B421" s="6"/>
      <c r="C421" s="6"/>
    </row>
    <row r="422" spans="1:3" ht="15.75" customHeight="1">
      <c r="A422" s="6"/>
      <c r="B422" s="6"/>
      <c r="C422" s="6"/>
    </row>
    <row r="423" spans="1:3" ht="15.75" customHeight="1">
      <c r="A423" s="6"/>
      <c r="B423" s="6"/>
      <c r="C423" s="6"/>
    </row>
    <row r="424" spans="1:3" ht="15.75" customHeight="1">
      <c r="A424" s="6"/>
      <c r="B424" s="6"/>
      <c r="C424" s="6"/>
    </row>
    <row r="425" spans="1:3" ht="15.75" customHeight="1">
      <c r="A425" s="6"/>
      <c r="B425" s="6"/>
      <c r="C425" s="6"/>
    </row>
    <row r="426" spans="1:3" ht="15.75" customHeight="1">
      <c r="A426" s="6"/>
      <c r="B426" s="6"/>
      <c r="C426" s="6"/>
    </row>
    <row r="427" spans="1:3" ht="15.75" customHeight="1">
      <c r="A427" s="6"/>
      <c r="B427" s="6"/>
      <c r="C427" s="6"/>
    </row>
    <row r="428" spans="1:3" ht="15.75" customHeight="1">
      <c r="A428" s="6"/>
      <c r="B428" s="6"/>
      <c r="C428" s="6"/>
    </row>
    <row r="429" spans="1:3" ht="15.75" customHeight="1">
      <c r="A429" s="6"/>
      <c r="B429" s="6"/>
      <c r="C429" s="6"/>
    </row>
    <row r="430" spans="1:3" ht="15.75" customHeight="1">
      <c r="A430" s="6"/>
      <c r="B430" s="6"/>
      <c r="C430" s="6"/>
    </row>
    <row r="431" spans="1:3" ht="15.75" customHeight="1">
      <c r="A431" s="6"/>
      <c r="B431" s="6"/>
      <c r="C431" s="6"/>
    </row>
    <row r="432" spans="1:3" ht="15.75" customHeight="1">
      <c r="A432" s="6"/>
      <c r="B432" s="6"/>
      <c r="C432" s="6"/>
    </row>
    <row r="433" spans="1:3" ht="15.75" customHeight="1">
      <c r="A433" s="6"/>
      <c r="B433" s="6"/>
      <c r="C433" s="6"/>
    </row>
    <row r="434" spans="1:3" ht="15.75" customHeight="1">
      <c r="A434" s="6"/>
      <c r="B434" s="6"/>
      <c r="C434" s="6"/>
    </row>
    <row r="435" spans="1:3" ht="15.75" customHeight="1">
      <c r="A435" s="6"/>
      <c r="B435" s="6"/>
      <c r="C435" s="6"/>
    </row>
    <row r="436" spans="1:3" ht="15.75" customHeight="1">
      <c r="A436" s="6"/>
      <c r="B436" s="6"/>
      <c r="C436" s="6"/>
    </row>
    <row r="437" spans="1:3" ht="15.75" customHeight="1">
      <c r="A437" s="6"/>
      <c r="B437" s="6"/>
      <c r="C437" s="6"/>
    </row>
    <row r="438" spans="1:3" ht="15.75" customHeight="1">
      <c r="A438" s="6"/>
      <c r="B438" s="6"/>
      <c r="C438" s="6"/>
    </row>
    <row r="439" spans="1:3" ht="15.75" customHeight="1">
      <c r="A439" s="6"/>
      <c r="B439" s="6"/>
      <c r="C439" s="6"/>
    </row>
    <row r="440" spans="1:3" ht="15.75" customHeight="1">
      <c r="A440" s="6"/>
      <c r="B440" s="6"/>
      <c r="C440" s="6"/>
    </row>
    <row r="441" spans="1:3" ht="15.75" customHeight="1">
      <c r="A441" s="6"/>
      <c r="B441" s="6"/>
      <c r="C441" s="6"/>
    </row>
    <row r="442" spans="1:3" ht="15.75" customHeight="1">
      <c r="A442" s="6"/>
      <c r="B442" s="6"/>
      <c r="C442" s="6"/>
    </row>
    <row r="443" spans="1:3" ht="15.75" customHeight="1">
      <c r="A443" s="6"/>
      <c r="B443" s="6"/>
      <c r="C443" s="6"/>
    </row>
    <row r="444" spans="1:3" ht="15.75" customHeight="1">
      <c r="A444" s="6"/>
      <c r="B444" s="6"/>
      <c r="C444" s="6"/>
    </row>
    <row r="445" spans="1:3" ht="15.75" customHeight="1">
      <c r="A445" s="6"/>
      <c r="B445" s="6"/>
      <c r="C445" s="6"/>
    </row>
    <row r="446" spans="1:3" ht="15.75" customHeight="1">
      <c r="A446" s="6"/>
      <c r="B446" s="6"/>
      <c r="C446" s="6"/>
    </row>
    <row r="447" spans="1:3" ht="15.75" customHeight="1">
      <c r="A447" s="6"/>
      <c r="B447" s="6"/>
      <c r="C447" s="6"/>
    </row>
    <row r="448" spans="1:3" ht="15.75" customHeight="1">
      <c r="A448" s="6"/>
      <c r="B448" s="6"/>
      <c r="C448" s="6"/>
    </row>
    <row r="449" spans="1:3" ht="15.75" customHeight="1">
      <c r="A449" s="6"/>
      <c r="B449" s="6"/>
      <c r="C449" s="6"/>
    </row>
    <row r="450" spans="1:3" ht="15.75" customHeight="1">
      <c r="A450" s="6"/>
      <c r="B450" s="6"/>
      <c r="C450" s="6"/>
    </row>
    <row r="451" spans="1:3" ht="15.75" customHeight="1">
      <c r="A451" s="6"/>
      <c r="B451" s="6"/>
      <c r="C451" s="6"/>
    </row>
    <row r="452" spans="1:3" ht="15.75" customHeight="1">
      <c r="A452" s="6"/>
      <c r="B452" s="6"/>
      <c r="C452" s="6"/>
    </row>
    <row r="453" spans="1:3" ht="15.75" customHeight="1">
      <c r="A453" s="6"/>
      <c r="B453" s="6"/>
      <c r="C453" s="6"/>
    </row>
    <row r="454" spans="1:3" ht="15.75" customHeight="1">
      <c r="A454" s="6"/>
      <c r="B454" s="6"/>
      <c r="C454" s="6"/>
    </row>
    <row r="455" spans="1:3" ht="15.75" customHeight="1">
      <c r="A455" s="6"/>
      <c r="B455" s="6"/>
      <c r="C455" s="6"/>
    </row>
    <row r="456" spans="1:3" ht="15.75" customHeight="1">
      <c r="A456" s="6"/>
      <c r="B456" s="6"/>
      <c r="C456" s="6"/>
    </row>
    <row r="457" spans="1:3" ht="15.75" customHeight="1">
      <c r="A457" s="6"/>
      <c r="B457" s="6"/>
      <c r="C457" s="6"/>
    </row>
    <row r="458" spans="1:3" ht="15.75" customHeight="1">
      <c r="A458" s="6"/>
      <c r="B458" s="6"/>
      <c r="C458" s="6"/>
    </row>
    <row r="459" spans="1:3" ht="15.75" customHeight="1">
      <c r="A459" s="6"/>
      <c r="B459" s="6"/>
      <c r="C459" s="6"/>
    </row>
    <row r="460" spans="1:3" ht="15.75" customHeight="1">
      <c r="A460" s="6"/>
      <c r="B460" s="6"/>
      <c r="C460" s="6"/>
    </row>
    <row r="461" spans="1:3" ht="15.75" customHeight="1">
      <c r="A461" s="6"/>
      <c r="B461" s="6"/>
      <c r="C461" s="6"/>
    </row>
    <row r="462" spans="1:3" ht="15.75" customHeight="1">
      <c r="A462" s="6"/>
      <c r="B462" s="6"/>
      <c r="C462" s="6"/>
    </row>
    <row r="463" spans="1:3" ht="15.75" customHeight="1">
      <c r="A463" s="6"/>
      <c r="B463" s="6"/>
      <c r="C463" s="6"/>
    </row>
    <row r="464" spans="1:3" ht="15.75" customHeight="1">
      <c r="A464" s="6"/>
      <c r="B464" s="6"/>
      <c r="C464" s="6"/>
    </row>
    <row r="465" spans="1:3" ht="15.75" customHeight="1">
      <c r="A465" s="6"/>
      <c r="B465" s="6"/>
      <c r="C465" s="6"/>
    </row>
    <row r="466" spans="1:3" ht="15.75" customHeight="1">
      <c r="A466" s="6"/>
      <c r="B466" s="6"/>
      <c r="C466" s="6"/>
    </row>
    <row r="467" spans="1:3" ht="15.75" customHeight="1">
      <c r="A467" s="6"/>
      <c r="B467" s="6"/>
      <c r="C467" s="6"/>
    </row>
    <row r="468" spans="1:3" ht="15.75" customHeight="1">
      <c r="A468" s="6"/>
      <c r="B468" s="6"/>
      <c r="C468" s="6"/>
    </row>
    <row r="469" spans="1:3" ht="15.75" customHeight="1">
      <c r="A469" s="6"/>
      <c r="B469" s="6"/>
      <c r="C469" s="6"/>
    </row>
    <row r="470" spans="1:3" ht="15.75" customHeight="1">
      <c r="A470" s="6"/>
      <c r="B470" s="6"/>
      <c r="C470" s="6"/>
    </row>
    <row r="471" spans="1:3" ht="15.75" customHeight="1">
      <c r="A471" s="6"/>
      <c r="B471" s="6"/>
      <c r="C471" s="6"/>
    </row>
    <row r="472" spans="1:3" ht="15.75" customHeight="1">
      <c r="A472" s="6"/>
      <c r="B472" s="6"/>
      <c r="C472" s="6"/>
    </row>
    <row r="473" spans="1:3" ht="15.75" customHeight="1">
      <c r="A473" s="6"/>
      <c r="B473" s="6"/>
      <c r="C473" s="6"/>
    </row>
    <row r="474" spans="1:3" ht="15.75" customHeight="1">
      <c r="A474" s="6"/>
      <c r="B474" s="6"/>
      <c r="C474" s="6"/>
    </row>
    <row r="475" spans="1:3" ht="15.75" customHeight="1">
      <c r="A475" s="6"/>
      <c r="B475" s="6"/>
      <c r="C475" s="6"/>
    </row>
    <row r="476" spans="1:3" ht="15.75" customHeight="1">
      <c r="A476" s="6"/>
      <c r="B476" s="6"/>
      <c r="C476" s="6"/>
    </row>
    <row r="477" spans="1:3" ht="15.75" customHeight="1">
      <c r="A477" s="6"/>
      <c r="B477" s="6"/>
      <c r="C477" s="6"/>
    </row>
    <row r="478" spans="1:3" ht="15.75" customHeight="1">
      <c r="A478" s="6"/>
      <c r="B478" s="6"/>
      <c r="C478" s="6"/>
    </row>
    <row r="479" spans="1:3" ht="15.75" customHeight="1">
      <c r="A479" s="6"/>
      <c r="B479" s="6"/>
      <c r="C479" s="6"/>
    </row>
    <row r="480" spans="1:3" ht="15.75" customHeight="1">
      <c r="A480" s="6"/>
      <c r="B480" s="6"/>
      <c r="C480" s="6"/>
    </row>
    <row r="481" spans="1:3" ht="15.75" customHeight="1">
      <c r="A481" s="6"/>
      <c r="B481" s="6"/>
      <c r="C481" s="6"/>
    </row>
    <row r="482" spans="1:3" ht="15.75" customHeight="1">
      <c r="A482" s="6"/>
      <c r="B482" s="6"/>
      <c r="C482" s="6"/>
    </row>
    <row r="483" spans="1:3" ht="15.75" customHeight="1">
      <c r="A483" s="6"/>
      <c r="B483" s="6"/>
      <c r="C483" s="6"/>
    </row>
    <row r="484" spans="1:3" ht="15.75" customHeight="1">
      <c r="A484" s="6"/>
      <c r="B484" s="6"/>
      <c r="C484" s="6"/>
    </row>
    <row r="485" spans="1:3" ht="15.75" customHeight="1">
      <c r="A485" s="6"/>
      <c r="B485" s="6"/>
      <c r="C485" s="6"/>
    </row>
    <row r="486" spans="1:3" ht="15.75" customHeight="1">
      <c r="A486" s="6"/>
      <c r="B486" s="6"/>
      <c r="C486" s="6"/>
    </row>
    <row r="487" spans="1:3" ht="15.75" customHeight="1">
      <c r="A487" s="6"/>
      <c r="B487" s="6"/>
      <c r="C487" s="6"/>
    </row>
    <row r="488" spans="1:3" ht="15.75" customHeight="1">
      <c r="A488" s="6"/>
      <c r="B488" s="6"/>
      <c r="C488" s="6"/>
    </row>
    <row r="489" spans="1:3" ht="15.75" customHeight="1">
      <c r="A489" s="6"/>
      <c r="B489" s="6"/>
      <c r="C489" s="6"/>
    </row>
    <row r="490" spans="1:3" ht="15.75" customHeight="1">
      <c r="A490" s="6"/>
      <c r="B490" s="6"/>
      <c r="C490" s="6"/>
    </row>
    <row r="491" spans="1:3" ht="15.75" customHeight="1">
      <c r="A491" s="6"/>
      <c r="B491" s="6"/>
      <c r="C491" s="6"/>
    </row>
    <row r="492" spans="1:3" ht="15.75" customHeight="1">
      <c r="A492" s="6"/>
      <c r="B492" s="6"/>
      <c r="C492" s="6"/>
    </row>
    <row r="493" spans="1:3" ht="15.75" customHeight="1">
      <c r="A493" s="6"/>
      <c r="B493" s="6"/>
      <c r="C493" s="6"/>
    </row>
    <row r="494" spans="1:3" ht="15.75" customHeight="1">
      <c r="A494" s="6"/>
      <c r="B494" s="6"/>
      <c r="C494" s="6"/>
    </row>
    <row r="495" spans="1:3" ht="15.75" customHeight="1">
      <c r="A495" s="6"/>
      <c r="B495" s="6"/>
      <c r="C495" s="6"/>
    </row>
    <row r="496" spans="1:3" ht="15.75" customHeight="1">
      <c r="A496" s="6"/>
      <c r="B496" s="6"/>
      <c r="C496" s="6"/>
    </row>
    <row r="497" spans="1:3" ht="15.75" customHeight="1">
      <c r="A497" s="6"/>
      <c r="B497" s="6"/>
      <c r="C497" s="6"/>
    </row>
    <row r="498" spans="1:3" ht="15.75" customHeight="1">
      <c r="A498" s="6"/>
      <c r="B498" s="6"/>
      <c r="C498" s="6"/>
    </row>
    <row r="499" spans="1:3" ht="15.75" customHeight="1">
      <c r="A499" s="6"/>
      <c r="B499" s="6"/>
      <c r="C499" s="6"/>
    </row>
    <row r="500" spans="1:3" ht="15.75" customHeight="1">
      <c r="A500" s="6"/>
      <c r="B500" s="6"/>
      <c r="C500" s="6"/>
    </row>
    <row r="501" spans="1:3" ht="15.75" customHeight="1">
      <c r="A501" s="6"/>
      <c r="B501" s="6"/>
      <c r="C501" s="6"/>
    </row>
    <row r="502" spans="1:3" ht="15.75" customHeight="1">
      <c r="A502" s="6"/>
      <c r="B502" s="6"/>
      <c r="C502" s="6"/>
    </row>
    <row r="503" spans="1:3" ht="15.75" customHeight="1">
      <c r="A503" s="6"/>
      <c r="B503" s="6"/>
      <c r="C503" s="6"/>
    </row>
    <row r="504" spans="1:3" ht="15.75" customHeight="1">
      <c r="A504" s="6"/>
      <c r="B504" s="6"/>
      <c r="C504" s="6"/>
    </row>
    <row r="505" spans="1:3" ht="15.75" customHeight="1">
      <c r="A505" s="6"/>
      <c r="B505" s="6"/>
      <c r="C505" s="6"/>
    </row>
    <row r="506" spans="1:3" ht="15.75" customHeight="1">
      <c r="A506" s="6"/>
      <c r="B506" s="6"/>
      <c r="C506" s="6"/>
    </row>
    <row r="507" spans="1:3" ht="15.75" customHeight="1">
      <c r="A507" s="6"/>
      <c r="B507" s="6"/>
      <c r="C507" s="6"/>
    </row>
    <row r="508" spans="1:3" ht="15.75" customHeight="1">
      <c r="A508" s="6"/>
      <c r="B508" s="6"/>
      <c r="C508" s="6"/>
    </row>
    <row r="509" spans="1:3" ht="15.75" customHeight="1">
      <c r="A509" s="6"/>
      <c r="B509" s="6"/>
      <c r="C509" s="6"/>
    </row>
    <row r="510" spans="1:3" ht="15.75" customHeight="1">
      <c r="A510" s="6"/>
      <c r="B510" s="6"/>
      <c r="C510" s="6"/>
    </row>
    <row r="511" spans="1:3" ht="15.75" customHeight="1">
      <c r="A511" s="6"/>
      <c r="B511" s="6"/>
      <c r="C511" s="6"/>
    </row>
    <row r="512" spans="1:3" ht="15.75" customHeight="1">
      <c r="A512" s="6"/>
      <c r="B512" s="6"/>
      <c r="C512" s="6"/>
    </row>
    <row r="513" spans="1:3" ht="15.75" customHeight="1">
      <c r="A513" s="6"/>
      <c r="B513" s="6"/>
      <c r="C513" s="6"/>
    </row>
    <row r="514" spans="1:3" ht="15.75" customHeight="1">
      <c r="A514" s="6"/>
      <c r="B514" s="6"/>
      <c r="C514" s="6"/>
    </row>
    <row r="515" spans="1:3" ht="15.75" customHeight="1">
      <c r="A515" s="6"/>
      <c r="B515" s="6"/>
      <c r="C515" s="6"/>
    </row>
    <row r="516" spans="1:3" ht="15.75" customHeight="1">
      <c r="A516" s="6"/>
      <c r="B516" s="6"/>
      <c r="C516" s="6"/>
    </row>
    <row r="517" spans="1:3" ht="15.75" customHeight="1">
      <c r="A517" s="6"/>
      <c r="B517" s="6"/>
      <c r="C517" s="6"/>
    </row>
    <row r="518" spans="1:3" ht="15.75" customHeight="1">
      <c r="A518" s="6"/>
      <c r="B518" s="6"/>
      <c r="C518" s="6"/>
    </row>
    <row r="519" spans="1:3" ht="15.75" customHeight="1">
      <c r="A519" s="6"/>
      <c r="B519" s="6"/>
      <c r="C519" s="6"/>
    </row>
    <row r="520" spans="1:3" ht="15.75" customHeight="1">
      <c r="A520" s="6"/>
      <c r="B520" s="6"/>
      <c r="C520" s="6"/>
    </row>
    <row r="521" spans="1:3" ht="15.75" customHeight="1">
      <c r="A521" s="6"/>
      <c r="B521" s="6"/>
      <c r="C521" s="6"/>
    </row>
    <row r="522" spans="1:3" ht="15.75" customHeight="1">
      <c r="A522" s="6"/>
      <c r="B522" s="6"/>
      <c r="C522" s="6"/>
    </row>
    <row r="523" spans="1:3" ht="15.75" customHeight="1">
      <c r="A523" s="6"/>
      <c r="B523" s="6"/>
      <c r="C523" s="6"/>
    </row>
    <row r="524" spans="1:3" ht="15.75" customHeight="1">
      <c r="A524" s="6"/>
      <c r="B524" s="6"/>
      <c r="C524" s="6"/>
    </row>
    <row r="525" spans="1:3" ht="15.75" customHeight="1">
      <c r="A525" s="6"/>
      <c r="B525" s="6"/>
      <c r="C525" s="6"/>
    </row>
    <row r="526" spans="1:3" ht="15.75" customHeight="1">
      <c r="A526" s="6"/>
      <c r="B526" s="6"/>
      <c r="C526" s="6"/>
    </row>
    <row r="527" spans="1:3" ht="15.75" customHeight="1">
      <c r="A527" s="6"/>
      <c r="B527" s="6"/>
      <c r="C527" s="6"/>
    </row>
    <row r="528" spans="1:3" ht="15.75" customHeight="1">
      <c r="A528" s="6"/>
      <c r="B528" s="6"/>
      <c r="C528" s="6"/>
    </row>
    <row r="529" spans="1:3" ht="15.75" customHeight="1">
      <c r="A529" s="6"/>
      <c r="B529" s="6"/>
      <c r="C529" s="6"/>
    </row>
    <row r="530" spans="1:3" ht="15.75" customHeight="1">
      <c r="A530" s="6"/>
      <c r="B530" s="6"/>
      <c r="C530" s="6"/>
    </row>
    <row r="531" spans="1:3" ht="15.75" customHeight="1">
      <c r="A531" s="6"/>
      <c r="B531" s="6"/>
      <c r="C531" s="6"/>
    </row>
    <row r="532" spans="1:3" ht="15.75" customHeight="1">
      <c r="A532" s="6"/>
      <c r="B532" s="6"/>
      <c r="C532" s="6"/>
    </row>
    <row r="533" spans="1:3" ht="15.75" customHeight="1">
      <c r="A533" s="6"/>
      <c r="B533" s="6"/>
      <c r="C533" s="6"/>
    </row>
    <row r="534" spans="1:3" ht="15.75" customHeight="1">
      <c r="A534" s="6"/>
      <c r="B534" s="6"/>
      <c r="C534" s="6"/>
    </row>
    <row r="535" spans="1:3" ht="15.75" customHeight="1">
      <c r="A535" s="6"/>
      <c r="B535" s="6"/>
      <c r="C535" s="6"/>
    </row>
    <row r="536" spans="1:3" ht="15.75" customHeight="1">
      <c r="A536" s="6"/>
      <c r="B536" s="6"/>
      <c r="C536" s="6"/>
    </row>
    <row r="537" spans="1:3" ht="15.75" customHeight="1">
      <c r="A537" s="6"/>
      <c r="B537" s="6"/>
      <c r="C537" s="6"/>
    </row>
    <row r="538" spans="1:3" ht="15.75" customHeight="1">
      <c r="A538" s="6"/>
      <c r="B538" s="6"/>
      <c r="C538" s="6"/>
    </row>
    <row r="539" spans="1:3" ht="15.75" customHeight="1">
      <c r="A539" s="6"/>
      <c r="B539" s="6"/>
      <c r="C539" s="6"/>
    </row>
    <row r="540" spans="1:3" ht="15.75" customHeight="1">
      <c r="A540" s="6"/>
      <c r="B540" s="6"/>
      <c r="C540" s="6"/>
    </row>
    <row r="541" spans="1:3" ht="15.75" customHeight="1">
      <c r="A541" s="6"/>
      <c r="B541" s="6"/>
      <c r="C541" s="6"/>
    </row>
    <row r="542" spans="1:3" ht="15.75" customHeight="1">
      <c r="A542" s="6"/>
      <c r="B542" s="6"/>
      <c r="C542" s="6"/>
    </row>
    <row r="543" spans="1:3" ht="15.75" customHeight="1">
      <c r="A543" s="6"/>
      <c r="B543" s="6"/>
      <c r="C543" s="6"/>
    </row>
    <row r="544" spans="1:3" ht="15.75" customHeight="1">
      <c r="A544" s="6"/>
      <c r="B544" s="6"/>
      <c r="C544" s="6"/>
    </row>
    <row r="545" spans="1:3" ht="15.75" customHeight="1">
      <c r="A545" s="6"/>
      <c r="B545" s="6"/>
      <c r="C545" s="6"/>
    </row>
    <row r="546" spans="1:3" ht="15.75" customHeight="1">
      <c r="A546" s="6"/>
      <c r="B546" s="6"/>
      <c r="C546" s="6"/>
    </row>
    <row r="547" spans="1:3" ht="15.75" customHeight="1">
      <c r="A547" s="6"/>
      <c r="B547" s="6"/>
      <c r="C547" s="6"/>
    </row>
    <row r="548" spans="1:3" ht="15.75" customHeight="1">
      <c r="A548" s="6"/>
      <c r="B548" s="6"/>
      <c r="C548" s="6"/>
    </row>
    <row r="549" spans="1:3" ht="15.75" customHeight="1">
      <c r="A549" s="6"/>
      <c r="B549" s="6"/>
      <c r="C549" s="6"/>
    </row>
    <row r="550" spans="1:3" ht="15.75" customHeight="1">
      <c r="A550" s="6"/>
      <c r="B550" s="6"/>
      <c r="C550" s="6"/>
    </row>
    <row r="551" spans="1:3" ht="15.75" customHeight="1">
      <c r="A551" s="6"/>
      <c r="B551" s="6"/>
      <c r="C551" s="6"/>
    </row>
    <row r="552" spans="1:3" ht="15.75" customHeight="1">
      <c r="A552" s="6"/>
      <c r="B552" s="6"/>
      <c r="C552" s="6"/>
    </row>
    <row r="553" spans="1:3" ht="15.75" customHeight="1">
      <c r="A553" s="6"/>
      <c r="B553" s="6"/>
      <c r="C553" s="6"/>
    </row>
    <row r="554" spans="1:3" ht="15.75" customHeight="1">
      <c r="A554" s="6"/>
      <c r="B554" s="6"/>
      <c r="C554" s="6"/>
    </row>
    <row r="555" spans="1:3" ht="15.75" customHeight="1">
      <c r="A555" s="6"/>
      <c r="B555" s="6"/>
      <c r="C555" s="6"/>
    </row>
    <row r="556" spans="1:3" ht="15.75" customHeight="1">
      <c r="A556" s="6"/>
      <c r="B556" s="6"/>
      <c r="C556" s="6"/>
    </row>
    <row r="557" spans="1:3" ht="15.75" customHeight="1">
      <c r="A557" s="6"/>
      <c r="B557" s="6"/>
      <c r="C557" s="6"/>
    </row>
    <row r="558" spans="1:3" ht="15.75" customHeight="1">
      <c r="A558" s="6"/>
      <c r="B558" s="6"/>
      <c r="C558" s="6"/>
    </row>
    <row r="559" spans="1:3" ht="15.75" customHeight="1">
      <c r="A559" s="6"/>
      <c r="B559" s="6"/>
      <c r="C559" s="6"/>
    </row>
    <row r="560" spans="1:3" ht="15.75" customHeight="1">
      <c r="A560" s="6"/>
      <c r="B560" s="6"/>
      <c r="C560" s="6"/>
    </row>
    <row r="561" spans="1:3" ht="15.75" customHeight="1">
      <c r="A561" s="6"/>
      <c r="B561" s="6"/>
      <c r="C561" s="6"/>
    </row>
    <row r="562" spans="1:3" ht="15.75" customHeight="1">
      <c r="A562" s="6"/>
      <c r="B562" s="6"/>
      <c r="C562" s="6"/>
    </row>
    <row r="563" spans="1:3" ht="15.75" customHeight="1">
      <c r="A563" s="6"/>
      <c r="B563" s="6"/>
      <c r="C563" s="6"/>
    </row>
    <row r="564" spans="1:3" ht="15.75" customHeight="1">
      <c r="A564" s="6"/>
      <c r="B564" s="6"/>
      <c r="C564" s="6"/>
    </row>
    <row r="565" spans="1:3" ht="15.75" customHeight="1">
      <c r="A565" s="6"/>
      <c r="B565" s="6"/>
      <c r="C565" s="6"/>
    </row>
    <row r="566" spans="1:3" ht="15.75" customHeight="1">
      <c r="A566" s="6"/>
      <c r="B566" s="6"/>
      <c r="C566" s="6"/>
    </row>
    <row r="567" spans="1:3" ht="15.75" customHeight="1">
      <c r="A567" s="6"/>
      <c r="B567" s="6"/>
      <c r="C567" s="6"/>
    </row>
    <row r="568" spans="1:3" ht="15.75" customHeight="1">
      <c r="A568" s="6"/>
      <c r="B568" s="6"/>
      <c r="C568" s="6"/>
    </row>
    <row r="569" spans="1:3" ht="15.75" customHeight="1">
      <c r="A569" s="6"/>
      <c r="B569" s="6"/>
      <c r="C569" s="6"/>
    </row>
    <row r="570" spans="1:3" ht="15.75" customHeight="1">
      <c r="A570" s="6"/>
      <c r="B570" s="6"/>
      <c r="C570" s="6"/>
    </row>
    <row r="571" spans="1:3" ht="15.75" customHeight="1">
      <c r="A571" s="6"/>
      <c r="B571" s="6"/>
      <c r="C571" s="6"/>
    </row>
    <row r="572" spans="1:3" ht="15.75" customHeight="1">
      <c r="A572" s="6"/>
      <c r="B572" s="6"/>
      <c r="C572" s="6"/>
    </row>
    <row r="573" spans="1:3" ht="15.75" customHeight="1">
      <c r="A573" s="6"/>
      <c r="B573" s="6"/>
      <c r="C573" s="6"/>
    </row>
    <row r="574" spans="1:3" ht="15.75" customHeight="1">
      <c r="A574" s="6"/>
      <c r="B574" s="6"/>
      <c r="C574" s="6"/>
    </row>
    <row r="575" spans="1:3" ht="15.75" customHeight="1">
      <c r="A575" s="6"/>
      <c r="B575" s="6"/>
      <c r="C575" s="6"/>
    </row>
    <row r="576" spans="1:3" ht="15.75" customHeight="1">
      <c r="A576" s="6"/>
      <c r="B576" s="6"/>
      <c r="C576" s="6"/>
    </row>
    <row r="577" spans="1:3" ht="15.75" customHeight="1">
      <c r="A577" s="6"/>
      <c r="B577" s="6"/>
      <c r="C577" s="6"/>
    </row>
    <row r="578" spans="1:3" ht="15.75" customHeight="1">
      <c r="A578" s="6"/>
      <c r="B578" s="6"/>
      <c r="C578" s="6"/>
    </row>
    <row r="579" spans="1:3" ht="15.75" customHeight="1">
      <c r="A579" s="6"/>
      <c r="B579" s="6"/>
      <c r="C579" s="6"/>
    </row>
    <row r="580" spans="1:3" ht="15.75" customHeight="1">
      <c r="A580" s="6"/>
      <c r="B580" s="6"/>
      <c r="C580" s="6"/>
    </row>
    <row r="581" spans="1:3" ht="15.75" customHeight="1">
      <c r="A581" s="6"/>
      <c r="B581" s="6"/>
      <c r="C581" s="6"/>
    </row>
    <row r="582" spans="1:3" ht="15.75" customHeight="1">
      <c r="A582" s="6"/>
      <c r="B582" s="6"/>
      <c r="C582" s="6"/>
    </row>
    <row r="583" spans="1:3" ht="15.75" customHeight="1">
      <c r="A583" s="6"/>
      <c r="B583" s="6"/>
      <c r="C583" s="6"/>
    </row>
    <row r="584" spans="1:3" ht="15.75" customHeight="1">
      <c r="A584" s="6"/>
      <c r="B584" s="6"/>
      <c r="C584" s="6"/>
    </row>
    <row r="585" spans="1:3" ht="15.75" customHeight="1">
      <c r="A585" s="6"/>
      <c r="B585" s="6"/>
      <c r="C585" s="6"/>
    </row>
    <row r="586" spans="1:3" ht="15.75" customHeight="1">
      <c r="A586" s="6"/>
      <c r="B586" s="6"/>
      <c r="C586" s="6"/>
    </row>
    <row r="587" spans="1:3" ht="15.75" customHeight="1">
      <c r="A587" s="6"/>
      <c r="B587" s="6"/>
      <c r="C587" s="6"/>
    </row>
    <row r="588" spans="1:3" ht="15.75" customHeight="1">
      <c r="A588" s="6"/>
      <c r="B588" s="6"/>
      <c r="C588" s="6"/>
    </row>
    <row r="589" spans="1:3" ht="15.75" customHeight="1">
      <c r="A589" s="6"/>
      <c r="B589" s="6"/>
      <c r="C589" s="6"/>
    </row>
    <row r="590" spans="1:3" ht="15.75" customHeight="1">
      <c r="A590" s="6"/>
      <c r="B590" s="6"/>
      <c r="C590" s="6"/>
    </row>
    <row r="591" spans="1:3" ht="15.75" customHeight="1">
      <c r="A591" s="6"/>
      <c r="B591" s="6"/>
      <c r="C591" s="6"/>
    </row>
    <row r="592" spans="1:3" ht="15.75" customHeight="1">
      <c r="A592" s="6"/>
      <c r="B592" s="6"/>
      <c r="C592" s="6"/>
    </row>
    <row r="593" spans="1:3" ht="15.75" customHeight="1">
      <c r="A593" s="6"/>
      <c r="B593" s="6"/>
      <c r="C593" s="6"/>
    </row>
    <row r="594" spans="1:3" ht="15.75" customHeight="1">
      <c r="A594" s="6"/>
      <c r="B594" s="6"/>
      <c r="C594" s="6"/>
    </row>
    <row r="595" spans="1:3" ht="15.75" customHeight="1">
      <c r="A595" s="6"/>
      <c r="B595" s="6"/>
      <c r="C595" s="6"/>
    </row>
    <row r="596" spans="1:3" ht="15.75" customHeight="1">
      <c r="A596" s="6"/>
      <c r="B596" s="6"/>
      <c r="C596" s="6"/>
    </row>
    <row r="597" spans="1:3" ht="15.75" customHeight="1">
      <c r="A597" s="6"/>
      <c r="B597" s="6"/>
      <c r="C597" s="6"/>
    </row>
    <row r="598" spans="1:3" ht="15.75" customHeight="1">
      <c r="A598" s="6"/>
      <c r="B598" s="6"/>
      <c r="C598" s="6"/>
    </row>
    <row r="599" spans="1:3" ht="15.75" customHeight="1">
      <c r="A599" s="6"/>
      <c r="B599" s="6"/>
      <c r="C599" s="6"/>
    </row>
    <row r="600" spans="1:3" ht="15.75" customHeight="1">
      <c r="A600" s="6"/>
      <c r="B600" s="6"/>
      <c r="C600" s="6"/>
    </row>
    <row r="601" spans="1:3" ht="15.75" customHeight="1">
      <c r="A601" s="6"/>
      <c r="B601" s="6"/>
      <c r="C601" s="6"/>
    </row>
    <row r="602" spans="1:3" ht="15.75" customHeight="1">
      <c r="A602" s="6"/>
      <c r="B602" s="6"/>
      <c r="C602" s="6"/>
    </row>
    <row r="603" spans="1:3" ht="15.75" customHeight="1">
      <c r="A603" s="6"/>
      <c r="B603" s="6"/>
      <c r="C603" s="6"/>
    </row>
    <row r="604" spans="1:3" ht="15.75" customHeight="1">
      <c r="A604" s="6"/>
      <c r="B604" s="6"/>
      <c r="C604" s="6"/>
    </row>
    <row r="605" spans="1:3" ht="15.75" customHeight="1">
      <c r="A605" s="6"/>
      <c r="B605" s="6"/>
      <c r="C605" s="6"/>
    </row>
    <row r="606" spans="1:3" ht="15.75" customHeight="1">
      <c r="A606" s="6"/>
      <c r="B606" s="6"/>
      <c r="C606" s="6"/>
    </row>
    <row r="607" spans="1:3" ht="15.75" customHeight="1">
      <c r="A607" s="6"/>
      <c r="B607" s="6"/>
      <c r="C607" s="6"/>
    </row>
    <row r="608" spans="1:3" ht="15.75" customHeight="1">
      <c r="A608" s="6"/>
      <c r="B608" s="6"/>
      <c r="C608" s="6"/>
    </row>
    <row r="609" spans="1:3" ht="15.75" customHeight="1">
      <c r="A609" s="6"/>
      <c r="B609" s="6"/>
      <c r="C609" s="6"/>
    </row>
    <row r="610" spans="1:3" ht="15.75" customHeight="1">
      <c r="A610" s="6"/>
      <c r="B610" s="6"/>
      <c r="C610" s="6"/>
    </row>
    <row r="611" spans="1:3" ht="15.75" customHeight="1">
      <c r="A611" s="6"/>
      <c r="B611" s="6"/>
      <c r="C611" s="6"/>
    </row>
    <row r="612" spans="1:3" ht="15.75" customHeight="1">
      <c r="A612" s="6"/>
      <c r="B612" s="6"/>
      <c r="C612" s="6"/>
    </row>
    <row r="613" spans="1:3" ht="15.75" customHeight="1">
      <c r="A613" s="6"/>
      <c r="B613" s="6"/>
      <c r="C613" s="6"/>
    </row>
    <row r="614" spans="1:3" ht="15.75" customHeight="1">
      <c r="A614" s="6"/>
      <c r="B614" s="6"/>
      <c r="C614" s="6"/>
    </row>
    <row r="615" spans="1:3" ht="15.75" customHeight="1">
      <c r="A615" s="6"/>
      <c r="B615" s="6"/>
      <c r="C615" s="6"/>
    </row>
    <row r="616" spans="1:3" ht="15.75" customHeight="1">
      <c r="A616" s="6"/>
      <c r="B616" s="6"/>
      <c r="C616" s="6"/>
    </row>
    <row r="617" spans="1:3" ht="15.75" customHeight="1">
      <c r="A617" s="6"/>
      <c r="B617" s="6"/>
      <c r="C617" s="6"/>
    </row>
    <row r="618" spans="1:3" ht="15.75" customHeight="1">
      <c r="A618" s="6"/>
      <c r="B618" s="6"/>
      <c r="C618" s="6"/>
    </row>
    <row r="619" spans="1:3" ht="15.75" customHeight="1">
      <c r="A619" s="6"/>
      <c r="B619" s="6"/>
      <c r="C619" s="6"/>
    </row>
    <row r="620" spans="1:3" ht="15.75" customHeight="1">
      <c r="A620" s="6"/>
      <c r="B620" s="6"/>
      <c r="C620" s="6"/>
    </row>
    <row r="621" spans="1:3" ht="15.75" customHeight="1">
      <c r="A621" s="6"/>
      <c r="B621" s="6"/>
      <c r="C621" s="6"/>
    </row>
    <row r="622" spans="1:3" ht="15.75" customHeight="1">
      <c r="A622" s="6"/>
      <c r="B622" s="6"/>
      <c r="C622" s="6"/>
    </row>
    <row r="623" spans="1:3" ht="15.75" customHeight="1">
      <c r="A623" s="6"/>
      <c r="B623" s="6"/>
      <c r="C623" s="6"/>
    </row>
    <row r="624" spans="1:3" ht="15.75" customHeight="1">
      <c r="A624" s="6"/>
      <c r="B624" s="6"/>
      <c r="C624" s="6"/>
    </row>
    <row r="625" spans="1:3" ht="15.75" customHeight="1">
      <c r="A625" s="6"/>
      <c r="B625" s="6"/>
      <c r="C625" s="6"/>
    </row>
    <row r="626" spans="1:3" ht="15.75" customHeight="1">
      <c r="A626" s="6"/>
      <c r="B626" s="6"/>
      <c r="C626" s="6"/>
    </row>
    <row r="627" spans="1:3" ht="15.75" customHeight="1">
      <c r="A627" s="6"/>
      <c r="B627" s="6"/>
      <c r="C627" s="6"/>
    </row>
    <row r="628" spans="1:3" ht="15.75" customHeight="1">
      <c r="A628" s="6"/>
      <c r="B628" s="6"/>
      <c r="C628" s="6"/>
    </row>
    <row r="629" spans="1:3" ht="15.75" customHeight="1">
      <c r="A629" s="6"/>
      <c r="B629" s="6"/>
      <c r="C629" s="6"/>
    </row>
    <row r="630" spans="1:3" ht="15.75" customHeight="1">
      <c r="A630" s="6"/>
      <c r="B630" s="6"/>
      <c r="C630" s="6"/>
    </row>
    <row r="631" spans="1:3" ht="15.75" customHeight="1">
      <c r="A631" s="6"/>
      <c r="B631" s="6"/>
      <c r="C631" s="6"/>
    </row>
    <row r="632" spans="1:3" ht="15.75" customHeight="1">
      <c r="A632" s="6"/>
      <c r="B632" s="6"/>
      <c r="C632" s="6"/>
    </row>
    <row r="633" spans="1:3" ht="15.75" customHeight="1">
      <c r="A633" s="6"/>
      <c r="B633" s="6"/>
      <c r="C633" s="6"/>
    </row>
    <row r="634" spans="1:3" ht="15.75" customHeight="1">
      <c r="A634" s="6"/>
      <c r="B634" s="6"/>
      <c r="C634" s="6"/>
    </row>
    <row r="635" spans="1:3" ht="15.75" customHeight="1">
      <c r="A635" s="6"/>
      <c r="B635" s="6"/>
      <c r="C635" s="6"/>
    </row>
    <row r="636" spans="1:3" ht="15.75" customHeight="1">
      <c r="A636" s="6"/>
      <c r="B636" s="6"/>
      <c r="C636" s="6"/>
    </row>
    <row r="637" spans="1:3" ht="15.75" customHeight="1">
      <c r="A637" s="6"/>
      <c r="B637" s="6"/>
      <c r="C637" s="6"/>
    </row>
    <row r="638" spans="1:3" ht="15.75" customHeight="1">
      <c r="A638" s="6"/>
      <c r="B638" s="6"/>
      <c r="C638" s="6"/>
    </row>
    <row r="639" spans="1:3" ht="15.75" customHeight="1">
      <c r="A639" s="6"/>
      <c r="B639" s="6"/>
      <c r="C639" s="6"/>
    </row>
    <row r="640" spans="1:3" ht="15.75" customHeight="1">
      <c r="A640" s="6"/>
      <c r="B640" s="6"/>
      <c r="C640" s="6"/>
    </row>
    <row r="641" spans="1:3" ht="15.75" customHeight="1">
      <c r="A641" s="6"/>
      <c r="B641" s="6"/>
      <c r="C641" s="6"/>
    </row>
    <row r="642" spans="1:3" ht="15.75" customHeight="1">
      <c r="A642" s="6"/>
      <c r="B642" s="6"/>
      <c r="C642" s="6"/>
    </row>
    <row r="643" spans="1:3" ht="15.75" customHeight="1">
      <c r="A643" s="6"/>
      <c r="B643" s="6"/>
      <c r="C643" s="6"/>
    </row>
    <row r="644" spans="1:3" ht="15.75" customHeight="1">
      <c r="A644" s="6"/>
      <c r="B644" s="6"/>
      <c r="C644" s="6"/>
    </row>
    <row r="645" spans="1:3" ht="15.75" customHeight="1">
      <c r="A645" s="6"/>
      <c r="B645" s="6"/>
      <c r="C645" s="6"/>
    </row>
    <row r="646" spans="1:3" ht="15.75" customHeight="1">
      <c r="A646" s="6"/>
      <c r="B646" s="6"/>
      <c r="C646" s="6"/>
    </row>
    <row r="647" spans="1:3" ht="15.75" customHeight="1">
      <c r="A647" s="6"/>
      <c r="B647" s="6"/>
      <c r="C647" s="6"/>
    </row>
    <row r="648" spans="1:3" ht="15.75" customHeight="1">
      <c r="A648" s="6"/>
      <c r="B648" s="6"/>
      <c r="C648" s="6"/>
    </row>
    <row r="649" spans="1:3" ht="15.75" customHeight="1">
      <c r="A649" s="6"/>
      <c r="B649" s="6"/>
      <c r="C649" s="6"/>
    </row>
    <row r="650" spans="1:3" ht="15.75" customHeight="1">
      <c r="A650" s="6"/>
      <c r="B650" s="6"/>
      <c r="C650" s="6"/>
    </row>
    <row r="651" spans="1:3" ht="15.75" customHeight="1">
      <c r="A651" s="6"/>
      <c r="B651" s="6"/>
      <c r="C651" s="6"/>
    </row>
    <row r="652" spans="1:3" ht="15.75" customHeight="1">
      <c r="A652" s="6"/>
      <c r="B652" s="6"/>
      <c r="C652" s="6"/>
    </row>
    <row r="653" spans="1:3" ht="15.75" customHeight="1">
      <c r="A653" s="6"/>
      <c r="B653" s="6"/>
      <c r="C653" s="6"/>
    </row>
    <row r="654" spans="1:3" ht="15.75" customHeight="1">
      <c r="A654" s="6"/>
      <c r="B654" s="6"/>
      <c r="C654" s="6"/>
    </row>
    <row r="655" spans="1:3" ht="15.75" customHeight="1">
      <c r="A655" s="6"/>
      <c r="B655" s="6"/>
      <c r="C655" s="6"/>
    </row>
    <row r="656" spans="1:3" ht="15.75" customHeight="1">
      <c r="A656" s="6"/>
      <c r="B656" s="6"/>
      <c r="C656" s="6"/>
    </row>
    <row r="657" spans="1:3" ht="15.75" customHeight="1">
      <c r="A657" s="6"/>
      <c r="B657" s="6"/>
      <c r="C657" s="6"/>
    </row>
    <row r="658" spans="1:3" ht="15.75" customHeight="1">
      <c r="A658" s="6"/>
      <c r="B658" s="6"/>
      <c r="C658" s="6"/>
    </row>
    <row r="659" spans="1:3" ht="15.75" customHeight="1">
      <c r="A659" s="6"/>
      <c r="B659" s="6"/>
      <c r="C659" s="6"/>
    </row>
    <row r="660" spans="1:3" ht="15.75" customHeight="1">
      <c r="A660" s="6"/>
      <c r="B660" s="6"/>
      <c r="C660" s="6"/>
    </row>
    <row r="661" spans="1:3" ht="15.75" customHeight="1">
      <c r="A661" s="6"/>
      <c r="B661" s="6"/>
      <c r="C661" s="6"/>
    </row>
    <row r="662" spans="1:3" ht="15.75" customHeight="1">
      <c r="A662" s="6"/>
      <c r="B662" s="6"/>
      <c r="C662" s="6"/>
    </row>
    <row r="663" spans="1:3" ht="15.75" customHeight="1">
      <c r="A663" s="6"/>
      <c r="B663" s="6"/>
      <c r="C663" s="6"/>
    </row>
    <row r="664" spans="1:3" ht="15.75" customHeight="1">
      <c r="A664" s="6"/>
      <c r="B664" s="6"/>
      <c r="C664" s="6"/>
    </row>
    <row r="665" spans="1:3" ht="15.75" customHeight="1">
      <c r="A665" s="6"/>
      <c r="B665" s="6"/>
      <c r="C665" s="6"/>
    </row>
    <row r="666" spans="1:3" ht="15.75" customHeight="1">
      <c r="A666" s="6"/>
      <c r="B666" s="6"/>
      <c r="C666" s="6"/>
    </row>
    <row r="667" spans="1:3" ht="15.75" customHeight="1">
      <c r="A667" s="6"/>
      <c r="B667" s="6"/>
      <c r="C667" s="6"/>
    </row>
    <row r="668" spans="1:3" ht="15.75" customHeight="1">
      <c r="A668" s="6"/>
      <c r="B668" s="6"/>
      <c r="C668" s="6"/>
    </row>
    <row r="669" spans="1:3" ht="15.75" customHeight="1">
      <c r="A669" s="6"/>
      <c r="B669" s="6"/>
      <c r="C669" s="6"/>
    </row>
    <row r="670" spans="1:3" ht="15.75" customHeight="1">
      <c r="A670" s="6"/>
      <c r="B670" s="6"/>
      <c r="C670" s="6"/>
    </row>
    <row r="671" spans="1:3" ht="15.75" customHeight="1">
      <c r="A671" s="6"/>
      <c r="B671" s="6"/>
      <c r="C671" s="6"/>
    </row>
    <row r="672" spans="1:3" ht="15.75" customHeight="1">
      <c r="A672" s="6"/>
      <c r="B672" s="6"/>
      <c r="C672" s="6"/>
    </row>
    <row r="673" spans="1:3" ht="15.75" customHeight="1">
      <c r="A673" s="6"/>
      <c r="B673" s="6"/>
      <c r="C673" s="6"/>
    </row>
    <row r="674" spans="1:3" ht="15.75" customHeight="1">
      <c r="A674" s="6"/>
      <c r="B674" s="6"/>
      <c r="C674" s="6"/>
    </row>
    <row r="675" spans="1:3" ht="15.75" customHeight="1">
      <c r="A675" s="6"/>
      <c r="B675" s="6"/>
      <c r="C675" s="6"/>
    </row>
    <row r="676" spans="1:3" ht="15.75" customHeight="1">
      <c r="A676" s="6"/>
      <c r="B676" s="6"/>
      <c r="C676" s="6"/>
    </row>
    <row r="677" spans="1:3" ht="15.75" customHeight="1">
      <c r="A677" s="6"/>
      <c r="B677" s="6"/>
      <c r="C677" s="6"/>
    </row>
    <row r="678" spans="1:3" ht="15.75" customHeight="1">
      <c r="A678" s="6"/>
      <c r="B678" s="6"/>
      <c r="C678" s="6"/>
    </row>
    <row r="679" spans="1:3" ht="15.75" customHeight="1">
      <c r="A679" s="6"/>
      <c r="B679" s="6"/>
      <c r="C679" s="6"/>
    </row>
    <row r="680" spans="1:3" ht="15.75" customHeight="1">
      <c r="A680" s="6"/>
      <c r="B680" s="6"/>
      <c r="C680" s="6"/>
    </row>
    <row r="681" spans="1:3" ht="15.75" customHeight="1">
      <c r="A681" s="6"/>
      <c r="B681" s="6"/>
      <c r="C681" s="6"/>
    </row>
    <row r="682" spans="1:3" ht="15.75" customHeight="1">
      <c r="A682" s="6"/>
      <c r="B682" s="6"/>
      <c r="C682" s="6"/>
    </row>
    <row r="683" spans="1:3" ht="15.75" customHeight="1">
      <c r="A683" s="6"/>
      <c r="B683" s="6"/>
      <c r="C683" s="6"/>
    </row>
    <row r="684" spans="1:3" ht="15.75" customHeight="1">
      <c r="A684" s="6"/>
      <c r="B684" s="6"/>
      <c r="C684" s="6"/>
    </row>
    <row r="685" spans="1:3" ht="15.75" customHeight="1">
      <c r="A685" s="6"/>
      <c r="B685" s="6"/>
      <c r="C685" s="6"/>
    </row>
    <row r="686" spans="1:3" ht="15.75" customHeight="1">
      <c r="A686" s="6"/>
      <c r="B686" s="6"/>
      <c r="C686" s="6"/>
    </row>
    <row r="687" spans="1:3" ht="15.75" customHeight="1">
      <c r="A687" s="6"/>
      <c r="B687" s="6"/>
      <c r="C687" s="6"/>
    </row>
    <row r="688" spans="1:3" ht="15.75" customHeight="1">
      <c r="A688" s="6"/>
      <c r="B688" s="6"/>
      <c r="C688" s="6"/>
    </row>
    <row r="689" spans="1:3" ht="15.75" customHeight="1">
      <c r="A689" s="6"/>
      <c r="B689" s="6"/>
      <c r="C689" s="6"/>
    </row>
    <row r="690" spans="1:3" ht="15.75" customHeight="1">
      <c r="A690" s="6"/>
      <c r="B690" s="6"/>
      <c r="C690" s="6"/>
    </row>
    <row r="691" spans="1:3" ht="15.75" customHeight="1">
      <c r="A691" s="6"/>
      <c r="B691" s="6"/>
      <c r="C691" s="6"/>
    </row>
    <row r="692" spans="1:3" ht="15.75" customHeight="1">
      <c r="A692" s="6"/>
      <c r="B692" s="6"/>
      <c r="C692" s="6"/>
    </row>
    <row r="693" spans="1:3" ht="15.75" customHeight="1">
      <c r="A693" s="6"/>
      <c r="B693" s="6"/>
      <c r="C693" s="6"/>
    </row>
    <row r="694" spans="1:3" ht="15.75" customHeight="1">
      <c r="A694" s="6"/>
      <c r="B694" s="6"/>
      <c r="C694" s="6"/>
    </row>
    <row r="695" spans="1:3" ht="15.75" customHeight="1">
      <c r="A695" s="6"/>
      <c r="B695" s="6"/>
      <c r="C695" s="6"/>
    </row>
    <row r="696" spans="1:3" ht="15.75" customHeight="1">
      <c r="A696" s="6"/>
      <c r="B696" s="6"/>
      <c r="C696" s="6"/>
    </row>
    <row r="697" spans="1:3" ht="15.75" customHeight="1">
      <c r="A697" s="6"/>
      <c r="B697" s="6"/>
      <c r="C697" s="6"/>
    </row>
    <row r="698" spans="1:3" ht="15.75" customHeight="1">
      <c r="A698" s="6"/>
      <c r="B698" s="6"/>
      <c r="C698" s="6"/>
    </row>
    <row r="699" spans="1:3" ht="15.75" customHeight="1">
      <c r="A699" s="6"/>
      <c r="B699" s="6"/>
      <c r="C699" s="6"/>
    </row>
    <row r="700" spans="1:3" ht="15.75" customHeight="1">
      <c r="A700" s="6"/>
      <c r="B700" s="6"/>
      <c r="C700" s="6"/>
    </row>
    <row r="701" spans="1:3" ht="15.75" customHeight="1">
      <c r="A701" s="6"/>
      <c r="B701" s="6"/>
      <c r="C701" s="6"/>
    </row>
    <row r="702" spans="1:3" ht="15.75" customHeight="1">
      <c r="A702" s="6"/>
      <c r="B702" s="6"/>
      <c r="C702" s="6"/>
    </row>
    <row r="703" spans="1:3" ht="15.75" customHeight="1">
      <c r="A703" s="6"/>
      <c r="B703" s="6"/>
      <c r="C703" s="6"/>
    </row>
    <row r="704" spans="1:3" ht="15.75" customHeight="1">
      <c r="A704" s="6"/>
      <c r="B704" s="6"/>
      <c r="C704" s="6"/>
    </row>
    <row r="705" spans="1:3" ht="15.75" customHeight="1">
      <c r="A705" s="6"/>
      <c r="B705" s="6"/>
      <c r="C705" s="6"/>
    </row>
    <row r="706" spans="1:3" ht="15.75" customHeight="1">
      <c r="A706" s="6"/>
      <c r="B706" s="6"/>
      <c r="C706" s="6"/>
    </row>
    <row r="707" spans="1:3" ht="15.75" customHeight="1">
      <c r="A707" s="6"/>
      <c r="B707" s="6"/>
      <c r="C707" s="6"/>
    </row>
    <row r="708" spans="1:3" ht="15.75" customHeight="1">
      <c r="A708" s="6"/>
      <c r="B708" s="6"/>
      <c r="C708" s="6"/>
    </row>
    <row r="709" spans="1:3" ht="15.75" customHeight="1">
      <c r="A709" s="6"/>
      <c r="B709" s="6"/>
      <c r="C709" s="6"/>
    </row>
    <row r="710" spans="1:3" ht="15.75" customHeight="1">
      <c r="A710" s="6"/>
      <c r="B710" s="6"/>
      <c r="C710" s="6"/>
    </row>
    <row r="711" spans="1:3" ht="15.75" customHeight="1">
      <c r="A711" s="6"/>
      <c r="B711" s="6"/>
      <c r="C711" s="6"/>
    </row>
    <row r="712" spans="1:3" ht="15.75" customHeight="1">
      <c r="A712" s="6"/>
      <c r="B712" s="6"/>
      <c r="C712" s="6"/>
    </row>
    <row r="713" spans="1:3" ht="15.75" customHeight="1">
      <c r="A713" s="6"/>
      <c r="B713" s="6"/>
      <c r="C713" s="6"/>
    </row>
    <row r="714" spans="1:3" ht="15.75" customHeight="1">
      <c r="A714" s="6"/>
      <c r="B714" s="6"/>
      <c r="C714" s="6"/>
    </row>
    <row r="715" spans="1:3" ht="15.75" customHeight="1">
      <c r="A715" s="6"/>
      <c r="B715" s="6"/>
      <c r="C715" s="6"/>
    </row>
    <row r="716" spans="1:3" ht="15.75" customHeight="1">
      <c r="A716" s="6"/>
      <c r="B716" s="6"/>
      <c r="C716" s="6"/>
    </row>
    <row r="717" spans="1:3" ht="15.75" customHeight="1">
      <c r="A717" s="6"/>
      <c r="B717" s="6"/>
      <c r="C717" s="6"/>
    </row>
    <row r="718" spans="1:3" ht="15.75" customHeight="1">
      <c r="A718" s="6"/>
      <c r="B718" s="6"/>
      <c r="C718" s="6"/>
    </row>
    <row r="719" spans="1:3" ht="15.75" customHeight="1">
      <c r="A719" s="6"/>
      <c r="B719" s="6"/>
      <c r="C719" s="6"/>
    </row>
    <row r="720" spans="1:3" ht="15.75" customHeight="1">
      <c r="A720" s="6"/>
      <c r="B720" s="6"/>
      <c r="C720" s="6"/>
    </row>
    <row r="721" spans="1:3" ht="15.75" customHeight="1">
      <c r="A721" s="6"/>
      <c r="B721" s="6"/>
      <c r="C721" s="6"/>
    </row>
    <row r="722" spans="1:3" ht="15.75" customHeight="1">
      <c r="A722" s="6"/>
      <c r="B722" s="6"/>
      <c r="C722" s="6"/>
    </row>
    <row r="723" spans="1:3" ht="15.75" customHeight="1">
      <c r="A723" s="6"/>
      <c r="B723" s="6"/>
      <c r="C723" s="6"/>
    </row>
    <row r="724" spans="1:3" ht="15.75" customHeight="1">
      <c r="A724" s="6"/>
      <c r="B724" s="6"/>
      <c r="C724" s="6"/>
    </row>
    <row r="725" spans="1:3" ht="15.75" customHeight="1">
      <c r="A725" s="6"/>
      <c r="B725" s="6"/>
      <c r="C725" s="6"/>
    </row>
    <row r="726" spans="1:3" ht="15.75" customHeight="1">
      <c r="A726" s="6"/>
      <c r="B726" s="6"/>
      <c r="C726" s="6"/>
    </row>
    <row r="727" spans="1:3" ht="15.75" customHeight="1">
      <c r="A727" s="6"/>
      <c r="B727" s="6"/>
      <c r="C727" s="6"/>
    </row>
    <row r="728" spans="1:3" ht="15.75" customHeight="1">
      <c r="A728" s="6"/>
      <c r="B728" s="6"/>
      <c r="C728" s="6"/>
    </row>
    <row r="729" spans="1:3" ht="15.75" customHeight="1">
      <c r="A729" s="6"/>
      <c r="B729" s="6"/>
      <c r="C729" s="6"/>
    </row>
    <row r="730" spans="1:3" ht="15.75" customHeight="1">
      <c r="A730" s="6"/>
      <c r="B730" s="6"/>
      <c r="C730" s="6"/>
    </row>
    <row r="731" spans="1:3" ht="15.75" customHeight="1">
      <c r="A731" s="6"/>
      <c r="B731" s="6"/>
      <c r="C731" s="6"/>
    </row>
    <row r="732" spans="1:3" ht="15.75" customHeight="1">
      <c r="A732" s="6"/>
      <c r="B732" s="6"/>
      <c r="C732" s="6"/>
    </row>
    <row r="733" spans="1:3" ht="15.75" customHeight="1">
      <c r="A733" s="6"/>
      <c r="B733" s="6"/>
      <c r="C733" s="6"/>
    </row>
    <row r="734" spans="1:3" ht="15.75" customHeight="1">
      <c r="A734" s="6"/>
      <c r="B734" s="6"/>
      <c r="C734" s="6"/>
    </row>
    <row r="735" spans="1:3" ht="15.75" customHeight="1">
      <c r="A735" s="6"/>
      <c r="B735" s="6"/>
      <c r="C735" s="6"/>
    </row>
    <row r="736" spans="1:3" ht="15.75" customHeight="1">
      <c r="A736" s="6"/>
      <c r="B736" s="6"/>
      <c r="C736" s="6"/>
    </row>
    <row r="737" spans="1:3" ht="15.75" customHeight="1">
      <c r="A737" s="6"/>
      <c r="B737" s="6"/>
      <c r="C737" s="6"/>
    </row>
    <row r="738" spans="1:3" ht="15.75" customHeight="1">
      <c r="A738" s="6"/>
      <c r="B738" s="6"/>
      <c r="C738" s="6"/>
    </row>
    <row r="739" spans="1:3" ht="15.75" customHeight="1">
      <c r="A739" s="6"/>
      <c r="B739" s="6"/>
      <c r="C739" s="6"/>
    </row>
    <row r="740" spans="1:3" ht="15.75" customHeight="1">
      <c r="A740" s="6"/>
      <c r="B740" s="6"/>
      <c r="C740" s="6"/>
    </row>
    <row r="741" spans="1:3" ht="15.75" customHeight="1">
      <c r="A741" s="6"/>
      <c r="B741" s="6"/>
      <c r="C741" s="6"/>
    </row>
    <row r="742" spans="1:3" ht="15.75" customHeight="1">
      <c r="A742" s="6"/>
      <c r="B742" s="6"/>
      <c r="C742" s="6"/>
    </row>
    <row r="743" spans="1:3" ht="15.75" customHeight="1">
      <c r="A743" s="6"/>
      <c r="B743" s="6"/>
      <c r="C743" s="6"/>
    </row>
    <row r="744" spans="1:3" ht="15.75" customHeight="1">
      <c r="A744" s="6"/>
      <c r="B744" s="6"/>
      <c r="C744" s="6"/>
    </row>
    <row r="745" spans="1:3" ht="15.75" customHeight="1">
      <c r="A745" s="6"/>
      <c r="B745" s="6"/>
      <c r="C745" s="6"/>
    </row>
    <row r="746" spans="1:3" ht="15.75" customHeight="1">
      <c r="A746" s="6"/>
      <c r="B746" s="6"/>
      <c r="C746" s="6"/>
    </row>
    <row r="747" spans="1:3" ht="15.75" customHeight="1">
      <c r="A747" s="6"/>
      <c r="B747" s="6"/>
      <c r="C747" s="6"/>
    </row>
    <row r="748" spans="1:3" ht="15.75" customHeight="1">
      <c r="A748" s="6"/>
      <c r="B748" s="6"/>
      <c r="C748" s="6"/>
    </row>
    <row r="749" spans="1:3" ht="15.75" customHeight="1">
      <c r="A749" s="6"/>
      <c r="B749" s="6"/>
      <c r="C749" s="6"/>
    </row>
    <row r="750" spans="1:3" ht="15.75" customHeight="1">
      <c r="A750" s="6"/>
      <c r="B750" s="6"/>
      <c r="C750" s="6"/>
    </row>
    <row r="751" spans="1:3" ht="15.75" customHeight="1">
      <c r="A751" s="6"/>
      <c r="B751" s="6"/>
      <c r="C751" s="6"/>
    </row>
    <row r="752" spans="1:3" ht="15.75" customHeight="1">
      <c r="A752" s="6"/>
      <c r="B752" s="6"/>
      <c r="C752" s="6"/>
    </row>
    <row r="753" spans="1:3" ht="15.75" customHeight="1">
      <c r="A753" s="6"/>
      <c r="B753" s="6"/>
      <c r="C753" s="6"/>
    </row>
    <row r="754" spans="1:3" ht="15.75" customHeight="1">
      <c r="A754" s="6"/>
      <c r="B754" s="6"/>
      <c r="C754" s="6"/>
    </row>
    <row r="755" spans="1:3" ht="15.75" customHeight="1">
      <c r="A755" s="6"/>
      <c r="B755" s="6"/>
      <c r="C755" s="6"/>
    </row>
    <row r="756" spans="1:3" ht="15.75" customHeight="1">
      <c r="A756" s="6"/>
      <c r="B756" s="6"/>
      <c r="C756" s="6"/>
    </row>
    <row r="757" spans="1:3" ht="15.75" customHeight="1">
      <c r="A757" s="6"/>
      <c r="B757" s="6"/>
      <c r="C757" s="6"/>
    </row>
    <row r="758" spans="1:3" ht="15.75" customHeight="1">
      <c r="A758" s="6"/>
      <c r="B758" s="6"/>
      <c r="C758" s="6"/>
    </row>
    <row r="759" spans="1:3" ht="15.75" customHeight="1">
      <c r="A759" s="6"/>
      <c r="B759" s="6"/>
      <c r="C759" s="6"/>
    </row>
    <row r="760" spans="1:3" ht="15.75" customHeight="1">
      <c r="A760" s="6"/>
      <c r="B760" s="6"/>
      <c r="C760" s="6"/>
    </row>
    <row r="761" spans="1:3" ht="15.75" customHeight="1">
      <c r="A761" s="6"/>
      <c r="B761" s="6"/>
      <c r="C761" s="6"/>
    </row>
    <row r="762" spans="1:3" ht="15.75" customHeight="1">
      <c r="A762" s="6"/>
      <c r="B762" s="6"/>
      <c r="C762" s="6"/>
    </row>
    <row r="763" spans="1:3" ht="15.75" customHeight="1">
      <c r="A763" s="6"/>
      <c r="B763" s="6"/>
      <c r="C763" s="6"/>
    </row>
    <row r="764" spans="1:3" ht="15.75" customHeight="1">
      <c r="A764" s="6"/>
      <c r="B764" s="6"/>
      <c r="C764" s="6"/>
    </row>
    <row r="765" spans="1:3" ht="15.75" customHeight="1">
      <c r="A765" s="6"/>
      <c r="B765" s="6"/>
      <c r="C765" s="6"/>
    </row>
    <row r="766" spans="1:3" ht="15.75" customHeight="1">
      <c r="A766" s="6"/>
      <c r="B766" s="6"/>
      <c r="C766" s="6"/>
    </row>
    <row r="767" spans="1:3" ht="15.75" customHeight="1">
      <c r="A767" s="6"/>
      <c r="B767" s="6"/>
      <c r="C767" s="6"/>
    </row>
    <row r="768" spans="1:3" ht="15.75" customHeight="1">
      <c r="A768" s="6"/>
      <c r="B768" s="6"/>
      <c r="C768" s="6"/>
    </row>
    <row r="769" spans="1:3" ht="15.75" customHeight="1">
      <c r="A769" s="6"/>
      <c r="B769" s="6"/>
      <c r="C769" s="6"/>
    </row>
    <row r="770" spans="1:3" ht="15.75" customHeight="1">
      <c r="A770" s="6"/>
      <c r="B770" s="6"/>
      <c r="C770" s="6"/>
    </row>
    <row r="771" spans="1:3" ht="15.75" customHeight="1">
      <c r="A771" s="6"/>
      <c r="B771" s="6"/>
      <c r="C771" s="6"/>
    </row>
    <row r="772" spans="1:3" ht="15.75" customHeight="1">
      <c r="A772" s="6"/>
      <c r="B772" s="6"/>
      <c r="C772" s="6"/>
    </row>
    <row r="773" spans="1:3" ht="15.75" customHeight="1">
      <c r="A773" s="6"/>
      <c r="B773" s="6"/>
      <c r="C773" s="6"/>
    </row>
    <row r="774" spans="1:3" ht="15.75" customHeight="1">
      <c r="A774" s="6"/>
      <c r="B774" s="6"/>
      <c r="C774" s="6"/>
    </row>
    <row r="775" spans="1:3" ht="15.75" customHeight="1">
      <c r="A775" s="6"/>
      <c r="B775" s="6"/>
      <c r="C775" s="6"/>
    </row>
    <row r="776" spans="1:3" ht="15.75" customHeight="1">
      <c r="A776" s="6"/>
      <c r="B776" s="6"/>
      <c r="C776" s="6"/>
    </row>
    <row r="777" spans="1:3" ht="15.75" customHeight="1">
      <c r="A777" s="6"/>
      <c r="B777" s="6"/>
      <c r="C777" s="6"/>
    </row>
    <row r="778" spans="1:3" ht="15.75" customHeight="1">
      <c r="A778" s="6"/>
      <c r="B778" s="6"/>
      <c r="C778" s="6"/>
    </row>
    <row r="779" spans="1:3" ht="15.75" customHeight="1">
      <c r="A779" s="6"/>
      <c r="B779" s="6"/>
      <c r="C779" s="6"/>
    </row>
    <row r="780" spans="1:3" ht="15.75" customHeight="1">
      <c r="A780" s="6"/>
      <c r="B780" s="6"/>
      <c r="C780" s="6"/>
    </row>
    <row r="781" spans="1:3" ht="15.75" customHeight="1">
      <c r="A781" s="6"/>
      <c r="B781" s="6"/>
      <c r="C781" s="6"/>
    </row>
    <row r="782" spans="1:3" ht="15.75" customHeight="1">
      <c r="A782" s="6"/>
      <c r="B782" s="6"/>
      <c r="C782" s="6"/>
    </row>
    <row r="783" spans="1:3" ht="15.75" customHeight="1">
      <c r="A783" s="6"/>
      <c r="B783" s="6"/>
      <c r="C783" s="6"/>
    </row>
    <row r="784" spans="1:3" ht="15.75" customHeight="1">
      <c r="A784" s="6"/>
      <c r="B784" s="6"/>
      <c r="C784" s="6"/>
    </row>
    <row r="785" spans="1:3" ht="15.75" customHeight="1">
      <c r="A785" s="6"/>
      <c r="B785" s="6"/>
      <c r="C785" s="6"/>
    </row>
    <row r="786" spans="1:3" ht="15.75" customHeight="1">
      <c r="A786" s="6"/>
      <c r="B786" s="6"/>
      <c r="C786" s="6"/>
    </row>
    <row r="787" spans="1:3" ht="15.75" customHeight="1">
      <c r="A787" s="6"/>
      <c r="B787" s="6"/>
      <c r="C787" s="6"/>
    </row>
    <row r="788" spans="1:3" ht="15.75" customHeight="1">
      <c r="A788" s="6"/>
      <c r="B788" s="6"/>
      <c r="C788" s="6"/>
    </row>
    <row r="789" spans="1:3" ht="15.75" customHeight="1">
      <c r="A789" s="6"/>
      <c r="B789" s="6"/>
      <c r="C789" s="6"/>
    </row>
    <row r="790" spans="1:3" ht="15.75" customHeight="1">
      <c r="A790" s="6"/>
      <c r="B790" s="6"/>
      <c r="C790" s="6"/>
    </row>
    <row r="791" spans="1:3" ht="15.75" customHeight="1">
      <c r="A791" s="6"/>
      <c r="B791" s="6"/>
      <c r="C791" s="6"/>
    </row>
    <row r="792" spans="1:3" ht="15.75" customHeight="1">
      <c r="A792" s="6"/>
      <c r="B792" s="6"/>
      <c r="C792" s="6"/>
    </row>
    <row r="793" spans="1:3" ht="15.75" customHeight="1">
      <c r="A793" s="6"/>
      <c r="B793" s="6"/>
      <c r="C793" s="6"/>
    </row>
    <row r="794" spans="1:3" ht="15.75" customHeight="1">
      <c r="A794" s="6"/>
      <c r="B794" s="6"/>
      <c r="C794" s="6"/>
    </row>
    <row r="795" spans="1:3" ht="15.75" customHeight="1">
      <c r="A795" s="6"/>
      <c r="B795" s="6"/>
      <c r="C795" s="6"/>
    </row>
    <row r="796" spans="1:3" ht="15.75" customHeight="1">
      <c r="A796" s="6"/>
      <c r="B796" s="6"/>
      <c r="C796" s="6"/>
    </row>
    <row r="797" spans="1:3" ht="15.75" customHeight="1">
      <c r="A797" s="6"/>
      <c r="B797" s="6"/>
      <c r="C797" s="6"/>
    </row>
    <row r="798" spans="1:3" ht="15.75" customHeight="1">
      <c r="A798" s="6"/>
      <c r="B798" s="6"/>
      <c r="C798" s="6"/>
    </row>
    <row r="799" spans="1:3" ht="15.75" customHeight="1">
      <c r="A799" s="6"/>
      <c r="B799" s="6"/>
      <c r="C799" s="6"/>
    </row>
    <row r="800" spans="1:3" ht="15.75" customHeight="1">
      <c r="A800" s="6"/>
      <c r="B800" s="6"/>
      <c r="C800" s="6"/>
    </row>
    <row r="801" spans="1:3" ht="15.75" customHeight="1">
      <c r="A801" s="6"/>
      <c r="B801" s="6"/>
      <c r="C801" s="6"/>
    </row>
    <row r="802" spans="1:3" ht="15.75" customHeight="1">
      <c r="A802" s="6"/>
      <c r="B802" s="6"/>
      <c r="C802" s="6"/>
    </row>
    <row r="803" spans="1:3" ht="15.75" customHeight="1">
      <c r="A803" s="6"/>
      <c r="B803" s="6"/>
      <c r="C803" s="6"/>
    </row>
    <row r="804" spans="1:3" ht="15.75" customHeight="1">
      <c r="A804" s="6"/>
      <c r="B804" s="6"/>
      <c r="C804" s="6"/>
    </row>
    <row r="805" spans="1:3" ht="15.75" customHeight="1">
      <c r="A805" s="6"/>
      <c r="B805" s="6"/>
      <c r="C805" s="6"/>
    </row>
    <row r="806" spans="1:3" ht="15.75" customHeight="1">
      <c r="A806" s="6"/>
      <c r="B806" s="6"/>
      <c r="C806" s="6"/>
    </row>
    <row r="807" spans="1:3" ht="15.75" customHeight="1">
      <c r="A807" s="6"/>
      <c r="B807" s="6"/>
      <c r="C807" s="6"/>
    </row>
    <row r="808" spans="1:3" ht="15.75" customHeight="1">
      <c r="A808" s="6"/>
      <c r="B808" s="6"/>
      <c r="C808" s="6"/>
    </row>
    <row r="809" spans="1:3" ht="15.75" customHeight="1">
      <c r="A809" s="6"/>
      <c r="B809" s="6"/>
      <c r="C809" s="6"/>
    </row>
    <row r="810" spans="1:3" ht="15.75" customHeight="1">
      <c r="A810" s="6"/>
      <c r="B810" s="6"/>
      <c r="C810" s="6"/>
    </row>
    <row r="811" spans="1:3" ht="15.75" customHeight="1">
      <c r="A811" s="6"/>
      <c r="B811" s="6"/>
      <c r="C811" s="6"/>
    </row>
    <row r="812" spans="1:3" ht="15.75" customHeight="1">
      <c r="A812" s="6"/>
      <c r="B812" s="6"/>
      <c r="C812" s="6"/>
    </row>
    <row r="813" spans="1:3" ht="15.75" customHeight="1">
      <c r="A813" s="6"/>
      <c r="B813" s="6"/>
      <c r="C813" s="6"/>
    </row>
    <row r="814" spans="1:3" ht="15.75" customHeight="1">
      <c r="A814" s="6"/>
      <c r="B814" s="6"/>
      <c r="C814" s="6"/>
    </row>
    <row r="815" spans="1:3" ht="15.75" customHeight="1">
      <c r="A815" s="6"/>
      <c r="B815" s="6"/>
      <c r="C815" s="6"/>
    </row>
    <row r="816" spans="1:3" ht="15.75" customHeight="1">
      <c r="A816" s="6"/>
      <c r="B816" s="6"/>
      <c r="C816" s="6"/>
    </row>
    <row r="817" spans="1:3" ht="15.75" customHeight="1">
      <c r="A817" s="6"/>
      <c r="B817" s="6"/>
      <c r="C817" s="6"/>
    </row>
    <row r="818" spans="1:3" ht="15.75" customHeight="1">
      <c r="A818" s="6"/>
      <c r="B818" s="6"/>
      <c r="C818" s="6"/>
    </row>
    <row r="819" spans="1:3" ht="15.75" customHeight="1">
      <c r="A819" s="6"/>
      <c r="B819" s="6"/>
      <c r="C819" s="6"/>
    </row>
    <row r="820" spans="1:3" ht="15.75" customHeight="1">
      <c r="A820" s="6"/>
      <c r="B820" s="6"/>
      <c r="C820" s="6"/>
    </row>
    <row r="821" spans="1:3" ht="15.75" customHeight="1">
      <c r="A821" s="6"/>
      <c r="B821" s="6"/>
      <c r="C821" s="6"/>
    </row>
    <row r="822" spans="1:3" ht="15.75" customHeight="1">
      <c r="A822" s="6"/>
      <c r="B822" s="6"/>
      <c r="C822" s="6"/>
    </row>
    <row r="823" spans="1:3" ht="15.75" customHeight="1">
      <c r="A823" s="6"/>
      <c r="B823" s="6"/>
      <c r="C823" s="6"/>
    </row>
    <row r="824" spans="1:3" ht="15.75" customHeight="1">
      <c r="A824" s="6"/>
      <c r="B824" s="6"/>
      <c r="C824" s="6"/>
    </row>
    <row r="825" spans="1:3" ht="15.75" customHeight="1">
      <c r="A825" s="6"/>
      <c r="B825" s="6"/>
      <c r="C825" s="6"/>
    </row>
    <row r="826" spans="1:3" ht="15.75" customHeight="1">
      <c r="A826" s="6"/>
      <c r="B826" s="6"/>
      <c r="C826" s="6"/>
    </row>
    <row r="827" spans="1:3" ht="15.75" customHeight="1">
      <c r="A827" s="6"/>
      <c r="B827" s="6"/>
      <c r="C827" s="6"/>
    </row>
    <row r="828" spans="1:3" ht="15.75" customHeight="1">
      <c r="A828" s="6"/>
      <c r="B828" s="6"/>
      <c r="C828" s="6"/>
    </row>
    <row r="829" spans="1:3" ht="15.75" customHeight="1">
      <c r="A829" s="6"/>
      <c r="B829" s="6"/>
      <c r="C829" s="6"/>
    </row>
    <row r="830" spans="1:3" ht="15.75" customHeight="1">
      <c r="A830" s="6"/>
      <c r="B830" s="6"/>
      <c r="C830" s="6"/>
    </row>
    <row r="831" spans="1:3" ht="15.75" customHeight="1">
      <c r="A831" s="6"/>
      <c r="B831" s="6"/>
      <c r="C831" s="6"/>
    </row>
    <row r="832" spans="1:3" ht="15.75" customHeight="1">
      <c r="A832" s="6"/>
      <c r="B832" s="6"/>
      <c r="C832" s="6"/>
    </row>
    <row r="833" spans="1:3" ht="15.75" customHeight="1">
      <c r="A833" s="6"/>
      <c r="B833" s="6"/>
      <c r="C833" s="6"/>
    </row>
    <row r="834" spans="1:3" ht="15.75" customHeight="1">
      <c r="A834" s="6"/>
      <c r="B834" s="6"/>
      <c r="C834" s="6"/>
    </row>
    <row r="835" spans="1:3" ht="15.75" customHeight="1">
      <c r="A835" s="6"/>
      <c r="B835" s="6"/>
      <c r="C835" s="6"/>
    </row>
    <row r="836" spans="1:3" ht="15.75" customHeight="1">
      <c r="A836" s="6"/>
      <c r="B836" s="6"/>
      <c r="C836" s="6"/>
    </row>
    <row r="837" spans="1:3" ht="15.75" customHeight="1">
      <c r="A837" s="6"/>
      <c r="B837" s="6"/>
      <c r="C837" s="6"/>
    </row>
    <row r="838" spans="1:3" ht="15.75" customHeight="1">
      <c r="A838" s="6"/>
      <c r="B838" s="6"/>
      <c r="C838" s="6"/>
    </row>
    <row r="839" spans="1:3" ht="15.75" customHeight="1">
      <c r="A839" s="6"/>
      <c r="B839" s="6"/>
      <c r="C839" s="6"/>
    </row>
    <row r="840" spans="1:3" ht="15.75" customHeight="1">
      <c r="A840" s="6"/>
      <c r="B840" s="6"/>
      <c r="C840" s="6"/>
    </row>
    <row r="841" spans="1:3" ht="15.75" customHeight="1">
      <c r="A841" s="6"/>
      <c r="B841" s="6"/>
      <c r="C841" s="6"/>
    </row>
    <row r="842" spans="1:3" ht="15.75" customHeight="1">
      <c r="A842" s="6"/>
      <c r="B842" s="6"/>
      <c r="C842" s="6"/>
    </row>
    <row r="843" spans="1:3" ht="15.75" customHeight="1">
      <c r="A843" s="6"/>
      <c r="B843" s="6"/>
      <c r="C843" s="6"/>
    </row>
    <row r="844" spans="1:3" ht="15.75" customHeight="1">
      <c r="A844" s="6"/>
      <c r="B844" s="6"/>
      <c r="C844" s="6"/>
    </row>
    <row r="845" spans="1:3" ht="15.75" customHeight="1">
      <c r="A845" s="6"/>
      <c r="B845" s="6"/>
      <c r="C845" s="6"/>
    </row>
    <row r="846" spans="1:3" ht="15.75" customHeight="1">
      <c r="A846" s="6"/>
      <c r="B846" s="6"/>
      <c r="C846" s="6"/>
    </row>
    <row r="847" spans="1:3" ht="15.75" customHeight="1">
      <c r="A847" s="6"/>
      <c r="B847" s="6"/>
      <c r="C847" s="6"/>
    </row>
    <row r="848" spans="1:3" ht="15.75" customHeight="1">
      <c r="A848" s="6"/>
      <c r="B848" s="6"/>
      <c r="C848" s="6"/>
    </row>
    <row r="849" spans="1:3" ht="15.75" customHeight="1">
      <c r="A849" s="6"/>
      <c r="B849" s="6"/>
      <c r="C849" s="6"/>
    </row>
    <row r="850" spans="1:3" ht="15.75" customHeight="1">
      <c r="A850" s="6"/>
      <c r="B850" s="6"/>
      <c r="C850" s="6"/>
    </row>
    <row r="851" spans="1:3" ht="15.75" customHeight="1">
      <c r="A851" s="6"/>
      <c r="B851" s="6"/>
      <c r="C851" s="6"/>
    </row>
    <row r="852" spans="1:3" ht="15.75" customHeight="1">
      <c r="A852" s="6"/>
      <c r="B852" s="6"/>
      <c r="C852" s="6"/>
    </row>
    <row r="853" spans="1:3" ht="15.75" customHeight="1">
      <c r="A853" s="6"/>
      <c r="B853" s="6"/>
      <c r="C853" s="6"/>
    </row>
    <row r="854" spans="1:3" ht="15.75" customHeight="1">
      <c r="A854" s="6"/>
      <c r="B854" s="6"/>
      <c r="C854" s="6"/>
    </row>
    <row r="855" spans="1:3" ht="15.75" customHeight="1">
      <c r="A855" s="6"/>
      <c r="B855" s="6"/>
      <c r="C855" s="6"/>
    </row>
    <row r="856" spans="1:3" ht="15.75" customHeight="1">
      <c r="A856" s="6"/>
      <c r="B856" s="6"/>
      <c r="C856" s="6"/>
    </row>
    <row r="857" spans="1:3" ht="15.75" customHeight="1">
      <c r="A857" s="6"/>
      <c r="B857" s="6"/>
      <c r="C857" s="6"/>
    </row>
    <row r="858" spans="1:3" ht="15.75" customHeight="1">
      <c r="A858" s="6"/>
      <c r="B858" s="6"/>
      <c r="C858" s="6"/>
    </row>
    <row r="859" spans="1:3" ht="15.75" customHeight="1">
      <c r="A859" s="6"/>
      <c r="B859" s="6"/>
      <c r="C859" s="6"/>
    </row>
    <row r="860" spans="1:3" ht="15.75" customHeight="1">
      <c r="A860" s="6"/>
      <c r="B860" s="6"/>
      <c r="C860" s="6"/>
    </row>
    <row r="861" spans="1:3" ht="15.75" customHeight="1">
      <c r="A861" s="6"/>
      <c r="B861" s="6"/>
      <c r="C861" s="6"/>
    </row>
    <row r="862" spans="1:3" ht="15.75" customHeight="1">
      <c r="A862" s="6"/>
      <c r="B862" s="6"/>
      <c r="C862" s="6"/>
    </row>
    <row r="863" spans="1:3" ht="15.75" customHeight="1">
      <c r="A863" s="6"/>
      <c r="B863" s="6"/>
      <c r="C863" s="6"/>
    </row>
    <row r="864" spans="1:3" ht="15.75" customHeight="1">
      <c r="A864" s="6"/>
      <c r="B864" s="6"/>
      <c r="C864" s="6"/>
    </row>
    <row r="865" spans="1:3" ht="15.75" customHeight="1">
      <c r="A865" s="6"/>
      <c r="B865" s="6"/>
      <c r="C865" s="6"/>
    </row>
    <row r="866" spans="1:3" ht="15.75" customHeight="1">
      <c r="A866" s="6"/>
      <c r="B866" s="6"/>
      <c r="C866" s="6"/>
    </row>
    <row r="867" spans="1:3" ht="15.75" customHeight="1">
      <c r="A867" s="6"/>
      <c r="B867" s="6"/>
      <c r="C867" s="6"/>
    </row>
    <row r="868" spans="1:3" ht="15.75" customHeight="1">
      <c r="A868" s="6"/>
      <c r="B868" s="6"/>
      <c r="C868" s="6"/>
    </row>
    <row r="869" spans="1:3" ht="15.75" customHeight="1">
      <c r="A869" s="6"/>
      <c r="B869" s="6"/>
      <c r="C869" s="6"/>
    </row>
    <row r="870" spans="1:3" ht="15.75" customHeight="1">
      <c r="A870" s="6"/>
      <c r="B870" s="6"/>
      <c r="C870" s="6"/>
    </row>
    <row r="871" spans="1:3" ht="15.75" customHeight="1">
      <c r="A871" s="6"/>
      <c r="B871" s="6"/>
      <c r="C871" s="6"/>
    </row>
    <row r="872" spans="1:3" ht="15.75" customHeight="1">
      <c r="A872" s="6"/>
      <c r="B872" s="6"/>
      <c r="C872" s="6"/>
    </row>
    <row r="873" spans="1:3" ht="15.75" customHeight="1">
      <c r="A873" s="6"/>
      <c r="B873" s="6"/>
      <c r="C873" s="6"/>
    </row>
    <row r="874" spans="1:3" ht="15.75" customHeight="1">
      <c r="A874" s="6"/>
      <c r="B874" s="6"/>
      <c r="C874" s="6"/>
    </row>
    <row r="875" spans="1:3" ht="15.75" customHeight="1">
      <c r="A875" s="6"/>
      <c r="B875" s="6"/>
      <c r="C875" s="6"/>
    </row>
    <row r="876" spans="1:3" ht="15.75" customHeight="1">
      <c r="A876" s="6"/>
      <c r="B876" s="6"/>
      <c r="C876" s="6"/>
    </row>
    <row r="877" spans="1:3" ht="15.75" customHeight="1">
      <c r="A877" s="6"/>
      <c r="B877" s="6"/>
      <c r="C877" s="6"/>
    </row>
    <row r="878" spans="1:3" ht="15.75" customHeight="1">
      <c r="A878" s="6"/>
      <c r="B878" s="6"/>
      <c r="C878" s="6"/>
    </row>
    <row r="879" spans="1:3" ht="15.75" customHeight="1">
      <c r="A879" s="6"/>
      <c r="B879" s="6"/>
      <c r="C879" s="6"/>
    </row>
    <row r="880" spans="1:3" ht="15.75" customHeight="1">
      <c r="A880" s="6"/>
      <c r="B880" s="6"/>
      <c r="C880" s="6"/>
    </row>
    <row r="881" spans="1:3" ht="15.75" customHeight="1">
      <c r="A881" s="6"/>
      <c r="B881" s="6"/>
      <c r="C881" s="6"/>
    </row>
    <row r="882" spans="1:3" ht="15.75" customHeight="1">
      <c r="A882" s="6"/>
      <c r="B882" s="6"/>
      <c r="C882" s="6"/>
    </row>
    <row r="883" spans="1:3" ht="15.75" customHeight="1">
      <c r="A883" s="6"/>
      <c r="B883" s="6"/>
      <c r="C883" s="6"/>
    </row>
    <row r="884" spans="1:3" ht="15.75" customHeight="1">
      <c r="A884" s="6"/>
      <c r="B884" s="6"/>
      <c r="C884" s="6"/>
    </row>
    <row r="885" spans="1:3" ht="15.75" customHeight="1">
      <c r="A885" s="6"/>
      <c r="B885" s="6"/>
      <c r="C885" s="6"/>
    </row>
    <row r="886" spans="1:3" ht="15.75" customHeight="1">
      <c r="A886" s="6"/>
      <c r="B886" s="6"/>
      <c r="C886" s="6"/>
    </row>
    <row r="887" spans="1:3" ht="15.75" customHeight="1">
      <c r="A887" s="6"/>
      <c r="B887" s="6"/>
      <c r="C887" s="6"/>
    </row>
    <row r="888" spans="1:3" ht="15.75" customHeight="1">
      <c r="A888" s="6"/>
      <c r="B888" s="6"/>
      <c r="C888" s="6"/>
    </row>
    <row r="889" spans="1:3" ht="15.75" customHeight="1">
      <c r="A889" s="6"/>
      <c r="B889" s="6"/>
      <c r="C889" s="6"/>
    </row>
    <row r="890" spans="1:3" ht="15.75" customHeight="1">
      <c r="A890" s="6"/>
      <c r="B890" s="6"/>
      <c r="C890" s="6"/>
    </row>
    <row r="891" spans="1:3" ht="15.75" customHeight="1">
      <c r="A891" s="6"/>
      <c r="B891" s="6"/>
      <c r="C891" s="6"/>
    </row>
    <row r="892" spans="1:3" ht="15.75" customHeight="1">
      <c r="A892" s="6"/>
      <c r="B892" s="6"/>
      <c r="C892" s="6"/>
    </row>
    <row r="893" spans="1:3" ht="15.75" customHeight="1">
      <c r="A893" s="6"/>
      <c r="B893" s="6"/>
      <c r="C893" s="6"/>
    </row>
    <row r="894" spans="1:3" ht="15.75" customHeight="1">
      <c r="A894" s="6"/>
      <c r="B894" s="6"/>
      <c r="C894" s="6"/>
    </row>
    <row r="895" spans="1:3" ht="15.75" customHeight="1">
      <c r="A895" s="6"/>
      <c r="B895" s="6"/>
      <c r="C895" s="6"/>
    </row>
    <row r="896" spans="1:3" ht="15.75" customHeight="1">
      <c r="A896" s="6"/>
      <c r="B896" s="6"/>
      <c r="C896" s="6"/>
    </row>
    <row r="897" spans="1:3" ht="15.75" customHeight="1">
      <c r="A897" s="6"/>
      <c r="B897" s="6"/>
      <c r="C897" s="6"/>
    </row>
    <row r="898" spans="1:3" ht="15.75" customHeight="1">
      <c r="A898" s="6"/>
      <c r="B898" s="6"/>
      <c r="C898" s="6"/>
    </row>
    <row r="899" spans="1:3" ht="15.75" customHeight="1">
      <c r="A899" s="6"/>
      <c r="B899" s="6"/>
      <c r="C899" s="6"/>
    </row>
    <row r="900" spans="1:3" ht="15.75" customHeight="1">
      <c r="A900" s="6"/>
      <c r="B900" s="6"/>
      <c r="C900" s="6"/>
    </row>
    <row r="901" spans="1:3" ht="15.75" customHeight="1">
      <c r="A901" s="6"/>
      <c r="B901" s="6"/>
      <c r="C901" s="6"/>
    </row>
    <row r="902" spans="1:3" ht="15.75" customHeight="1">
      <c r="A902" s="6"/>
      <c r="B902" s="6"/>
      <c r="C902" s="6"/>
    </row>
    <row r="903" spans="1:3" ht="15.75" customHeight="1">
      <c r="A903" s="6"/>
      <c r="B903" s="6"/>
      <c r="C903" s="6"/>
    </row>
    <row r="904" spans="1:3" ht="15.75" customHeight="1">
      <c r="A904" s="6"/>
      <c r="B904" s="6"/>
      <c r="C904" s="6"/>
    </row>
    <row r="905" spans="1:3" ht="15.75" customHeight="1">
      <c r="A905" s="6"/>
      <c r="B905" s="6"/>
      <c r="C905" s="6"/>
    </row>
    <row r="906" spans="1:3" ht="15.75" customHeight="1">
      <c r="A906" s="6"/>
      <c r="B906" s="6"/>
      <c r="C906" s="6"/>
    </row>
    <row r="907" spans="1:3" ht="15.75" customHeight="1">
      <c r="A907" s="6"/>
      <c r="B907" s="6"/>
      <c r="C907" s="6"/>
    </row>
    <row r="908" spans="1:3" ht="15.75" customHeight="1">
      <c r="A908" s="6"/>
      <c r="B908" s="6"/>
      <c r="C908" s="6"/>
    </row>
    <row r="909" spans="1:3" ht="15.75" customHeight="1">
      <c r="A909" s="6"/>
      <c r="B909" s="6"/>
      <c r="C909" s="6"/>
    </row>
    <row r="910" spans="1:3" ht="15.75" customHeight="1">
      <c r="A910" s="6"/>
      <c r="B910" s="6"/>
      <c r="C910" s="6"/>
    </row>
    <row r="911" spans="1:3" ht="15.75" customHeight="1">
      <c r="A911" s="6"/>
      <c r="B911" s="6"/>
      <c r="C911" s="6"/>
    </row>
    <row r="912" spans="1:3" ht="15.75" customHeight="1">
      <c r="A912" s="6"/>
      <c r="B912" s="6"/>
      <c r="C912" s="6"/>
    </row>
    <row r="913" spans="1:3" ht="15.75" customHeight="1">
      <c r="A913" s="6"/>
      <c r="B913" s="6"/>
      <c r="C913" s="6"/>
    </row>
    <row r="914" spans="1:3" ht="15.75" customHeight="1">
      <c r="A914" s="6"/>
      <c r="B914" s="6"/>
      <c r="C914" s="6"/>
    </row>
    <row r="915" spans="1:3" ht="15.75" customHeight="1">
      <c r="A915" s="6"/>
      <c r="B915" s="6"/>
      <c r="C915" s="6"/>
    </row>
    <row r="916" spans="1:3" ht="15.75" customHeight="1">
      <c r="A916" s="6"/>
      <c r="B916" s="6"/>
      <c r="C916" s="6"/>
    </row>
    <row r="917" spans="1:3" ht="15.75" customHeight="1">
      <c r="A917" s="6"/>
      <c r="B917" s="6"/>
      <c r="C917" s="6"/>
    </row>
    <row r="918" spans="1:3" ht="15.75" customHeight="1">
      <c r="A918" s="6"/>
      <c r="B918" s="6"/>
      <c r="C918" s="6"/>
    </row>
    <row r="919" spans="1:3" ht="15.75" customHeight="1">
      <c r="A919" s="6"/>
      <c r="B919" s="6"/>
      <c r="C919" s="6"/>
    </row>
    <row r="920" spans="1:3" ht="15.75" customHeight="1">
      <c r="A920" s="6"/>
      <c r="B920" s="6"/>
      <c r="C920" s="6"/>
    </row>
    <row r="921" spans="1:3" ht="15.75" customHeight="1">
      <c r="A921" s="6"/>
      <c r="B921" s="6"/>
      <c r="C921" s="6"/>
    </row>
    <row r="922" spans="1:3" ht="15.75" customHeight="1">
      <c r="A922" s="6"/>
      <c r="B922" s="6"/>
      <c r="C922" s="6"/>
    </row>
    <row r="923" spans="1:3" ht="15.75" customHeight="1">
      <c r="A923" s="6"/>
      <c r="B923" s="6"/>
      <c r="C923" s="6"/>
    </row>
    <row r="924" spans="1:3" ht="15.75" customHeight="1">
      <c r="A924" s="6"/>
      <c r="B924" s="6"/>
      <c r="C924" s="6"/>
    </row>
    <row r="925" spans="1:3" ht="15.75" customHeight="1">
      <c r="A925" s="6"/>
      <c r="B925" s="6"/>
      <c r="C925" s="6"/>
    </row>
    <row r="926" spans="1:3" ht="15.75" customHeight="1">
      <c r="A926" s="6"/>
      <c r="B926" s="6"/>
      <c r="C926" s="6"/>
    </row>
    <row r="927" spans="1:3" ht="15.75" customHeight="1">
      <c r="A927" s="6"/>
      <c r="B927" s="6"/>
      <c r="C927" s="6"/>
    </row>
    <row r="928" spans="1:3" ht="15.75" customHeight="1">
      <c r="A928" s="6"/>
      <c r="B928" s="6"/>
      <c r="C928" s="6"/>
    </row>
    <row r="929" spans="1:3" ht="15.75" customHeight="1">
      <c r="A929" s="6"/>
      <c r="B929" s="6"/>
      <c r="C929" s="6"/>
    </row>
    <row r="930" spans="1:3" ht="15.75" customHeight="1">
      <c r="A930" s="6"/>
      <c r="B930" s="6"/>
      <c r="C930" s="6"/>
    </row>
    <row r="931" spans="1:3" ht="15.75" customHeight="1">
      <c r="A931" s="6"/>
      <c r="B931" s="6"/>
      <c r="C931" s="6"/>
    </row>
    <row r="932" spans="1:3" ht="15.75" customHeight="1">
      <c r="A932" s="6"/>
      <c r="B932" s="6"/>
      <c r="C932" s="6"/>
    </row>
    <row r="933" spans="1:3" ht="15.75" customHeight="1">
      <c r="A933" s="6"/>
      <c r="B933" s="6"/>
      <c r="C933" s="6"/>
    </row>
    <row r="934" spans="1:3" ht="15.75" customHeight="1">
      <c r="A934" s="6"/>
      <c r="B934" s="6"/>
      <c r="C934" s="6"/>
    </row>
    <row r="935" spans="1:3" ht="15.75" customHeight="1">
      <c r="A935" s="6"/>
      <c r="B935" s="6"/>
      <c r="C935" s="6"/>
    </row>
    <row r="936" spans="1:3" ht="15.75" customHeight="1">
      <c r="A936" s="6"/>
      <c r="B936" s="6"/>
      <c r="C936" s="6"/>
    </row>
    <row r="937" spans="1:3" ht="15.75" customHeight="1">
      <c r="A937" s="6"/>
      <c r="B937" s="6"/>
      <c r="C937" s="6"/>
    </row>
    <row r="938" spans="1:3" ht="15.75" customHeight="1">
      <c r="A938" s="6"/>
      <c r="B938" s="6"/>
      <c r="C938" s="6"/>
    </row>
    <row r="939" spans="1:3" ht="15.75" customHeight="1">
      <c r="A939" s="6"/>
      <c r="B939" s="6"/>
      <c r="C939" s="6"/>
    </row>
    <row r="940" spans="1:3" ht="15.75" customHeight="1">
      <c r="A940" s="6"/>
      <c r="B940" s="6"/>
      <c r="C940" s="6"/>
    </row>
    <row r="941" spans="1:3" ht="15.75" customHeight="1">
      <c r="A941" s="6"/>
      <c r="B941" s="6"/>
      <c r="C941" s="6"/>
    </row>
    <row r="942" spans="1:3" ht="15.75" customHeight="1">
      <c r="A942" s="6"/>
      <c r="B942" s="6"/>
      <c r="C942" s="6"/>
    </row>
    <row r="943" spans="1:3" ht="15.75" customHeight="1">
      <c r="A943" s="6"/>
      <c r="B943" s="6"/>
      <c r="C943" s="6"/>
    </row>
    <row r="944" spans="1:3" ht="15.75" customHeight="1">
      <c r="A944" s="6"/>
      <c r="B944" s="6"/>
      <c r="C944" s="6"/>
    </row>
    <row r="945" spans="1:3" ht="15.75" customHeight="1">
      <c r="A945" s="6"/>
      <c r="B945" s="6"/>
      <c r="C945" s="6"/>
    </row>
    <row r="946" spans="1:3" ht="15.75" customHeight="1">
      <c r="A946" s="6"/>
      <c r="B946" s="6"/>
      <c r="C946" s="6"/>
    </row>
    <row r="947" spans="1:3" ht="15.75" customHeight="1">
      <c r="A947" s="6"/>
      <c r="B947" s="6"/>
      <c r="C947" s="6"/>
    </row>
    <row r="948" spans="1:3" ht="15.75" customHeight="1">
      <c r="A948" s="6"/>
      <c r="B948" s="6"/>
      <c r="C948" s="6"/>
    </row>
    <row r="949" spans="1:3" ht="15.75" customHeight="1">
      <c r="A949" s="6"/>
      <c r="B949" s="6"/>
      <c r="C949" s="6"/>
    </row>
    <row r="950" spans="1:3" ht="15.75" customHeight="1">
      <c r="A950" s="6"/>
      <c r="B950" s="6"/>
      <c r="C950" s="6"/>
    </row>
    <row r="951" spans="1:3" ht="15.75" customHeight="1">
      <c r="A951" s="6"/>
      <c r="B951" s="6"/>
      <c r="C951" s="6"/>
    </row>
    <row r="952" spans="1:3" ht="15.75" customHeight="1">
      <c r="A952" s="6"/>
      <c r="B952" s="6"/>
      <c r="C952" s="6"/>
    </row>
    <row r="953" spans="1:3" ht="15.75" customHeight="1">
      <c r="A953" s="6"/>
      <c r="B953" s="6"/>
      <c r="C953" s="6"/>
    </row>
    <row r="954" spans="1:3" ht="15.75" customHeight="1">
      <c r="A954" s="6"/>
      <c r="B954" s="6"/>
      <c r="C954" s="6"/>
    </row>
    <row r="955" spans="1:3" ht="15.75" customHeight="1">
      <c r="A955" s="6"/>
      <c r="B955" s="6"/>
      <c r="C955" s="6"/>
    </row>
    <row r="956" spans="1:3" ht="15.75" customHeight="1">
      <c r="A956" s="6"/>
      <c r="B956" s="6"/>
      <c r="C956" s="6"/>
    </row>
    <row r="957" spans="1:3" ht="15.75" customHeight="1">
      <c r="A957" s="6"/>
      <c r="B957" s="6"/>
      <c r="C957" s="6"/>
    </row>
    <row r="958" spans="1:3" ht="15.75" customHeight="1">
      <c r="A958" s="6"/>
      <c r="B958" s="6"/>
      <c r="C958" s="6"/>
    </row>
    <row r="959" spans="1:3" ht="15.75" customHeight="1">
      <c r="A959" s="6"/>
      <c r="B959" s="6"/>
      <c r="C959" s="6"/>
    </row>
    <row r="960" spans="1:3" ht="15.75" customHeight="1">
      <c r="A960" s="6"/>
      <c r="B960" s="6"/>
      <c r="C960" s="6"/>
    </row>
    <row r="961" spans="1:3" ht="15.75" customHeight="1">
      <c r="A961" s="6"/>
      <c r="B961" s="6"/>
      <c r="C961" s="6"/>
    </row>
    <row r="962" spans="1:3" ht="15.75" customHeight="1">
      <c r="A962" s="6"/>
      <c r="B962" s="6"/>
      <c r="C962" s="6"/>
    </row>
    <row r="963" spans="1:3" ht="15.75" customHeight="1">
      <c r="A963" s="6"/>
      <c r="B963" s="6"/>
      <c r="C963" s="6"/>
    </row>
    <row r="964" spans="1:3" ht="15.75" customHeight="1">
      <c r="A964" s="6"/>
      <c r="B964" s="6"/>
      <c r="C964" s="6"/>
    </row>
    <row r="965" spans="1:3" ht="15.75" customHeight="1">
      <c r="A965" s="6"/>
      <c r="B965" s="6"/>
      <c r="C965" s="6"/>
    </row>
    <row r="966" spans="1:3" ht="15.75" customHeight="1">
      <c r="A966" s="6"/>
      <c r="B966" s="6"/>
      <c r="C966" s="6"/>
    </row>
    <row r="967" spans="1:3" ht="15.75" customHeight="1">
      <c r="A967" s="6"/>
      <c r="B967" s="6"/>
      <c r="C967" s="6"/>
    </row>
    <row r="968" spans="1:3" ht="15.75" customHeight="1">
      <c r="A968" s="6"/>
      <c r="B968" s="6"/>
      <c r="C968" s="6"/>
    </row>
    <row r="969" spans="1:3" ht="15.75" customHeight="1">
      <c r="A969" s="6"/>
      <c r="B969" s="6"/>
      <c r="C969" s="6"/>
    </row>
    <row r="970" spans="1:3" ht="15.75" customHeight="1">
      <c r="A970" s="6"/>
      <c r="B970" s="6"/>
      <c r="C970" s="6"/>
    </row>
    <row r="971" spans="1:3" ht="15.75" customHeight="1">
      <c r="A971" s="6"/>
      <c r="B971" s="6"/>
      <c r="C971" s="6"/>
    </row>
    <row r="972" spans="1:3" ht="15.75" customHeight="1">
      <c r="A972" s="6"/>
      <c r="B972" s="6"/>
      <c r="C972" s="6"/>
    </row>
    <row r="973" spans="1:3" ht="15.75" customHeight="1">
      <c r="A973" s="6"/>
      <c r="B973" s="6"/>
      <c r="C973" s="6"/>
    </row>
    <row r="974" spans="1:3" ht="15.75" customHeight="1">
      <c r="A974" s="6"/>
      <c r="B974" s="6"/>
      <c r="C974" s="6"/>
    </row>
    <row r="975" spans="1:3" ht="15.75" customHeight="1">
      <c r="A975" s="6"/>
      <c r="B975" s="6"/>
      <c r="C975" s="6"/>
    </row>
    <row r="976" spans="1:3" ht="15.75" customHeight="1">
      <c r="A976" s="6"/>
      <c r="B976" s="6"/>
      <c r="C976" s="6"/>
    </row>
    <row r="977" spans="1:3" ht="15.75" customHeight="1">
      <c r="A977" s="6"/>
      <c r="B977" s="6"/>
      <c r="C977" s="6"/>
    </row>
    <row r="978" spans="1:3" ht="15.75" customHeight="1">
      <c r="A978" s="6"/>
      <c r="B978" s="6"/>
      <c r="C978" s="6"/>
    </row>
    <row r="979" spans="1:3" ht="15.75" customHeight="1">
      <c r="A979" s="6"/>
      <c r="B979" s="6"/>
      <c r="C979" s="6"/>
    </row>
    <row r="980" spans="1:3" ht="15.75" customHeight="1">
      <c r="A980" s="6"/>
      <c r="B980" s="6"/>
      <c r="C980" s="6"/>
    </row>
    <row r="981" spans="1:3" ht="15.75" customHeight="1">
      <c r="A981" s="6"/>
      <c r="B981" s="6"/>
      <c r="C981" s="6"/>
    </row>
    <row r="982" spans="1:3" ht="15.75" customHeight="1">
      <c r="A982" s="6"/>
      <c r="B982" s="6"/>
      <c r="C982" s="6"/>
    </row>
    <row r="983" spans="1:3" ht="15.75" customHeight="1">
      <c r="A983" s="6"/>
      <c r="B983" s="6"/>
      <c r="C983" s="6"/>
    </row>
    <row r="984" spans="1:3" ht="15.75" customHeight="1">
      <c r="A984" s="6"/>
      <c r="B984" s="6"/>
      <c r="C984" s="6"/>
    </row>
    <row r="985" spans="1:3" ht="15.75" customHeight="1">
      <c r="A985" s="6"/>
      <c r="B985" s="6"/>
      <c r="C985" s="6"/>
    </row>
    <row r="986" spans="1:3" ht="15.75" customHeight="1">
      <c r="A986" s="6"/>
      <c r="B986" s="6"/>
      <c r="C986" s="6"/>
    </row>
    <row r="987" spans="1:3" ht="15.75" customHeight="1">
      <c r="A987" s="6"/>
      <c r="B987" s="6"/>
      <c r="C987" s="6"/>
    </row>
    <row r="988" spans="1:3" ht="15.75" customHeight="1">
      <c r="A988" s="6"/>
      <c r="B988" s="6"/>
      <c r="C988" s="6"/>
    </row>
    <row r="989" spans="1:3" ht="15.75" customHeight="1">
      <c r="A989" s="6"/>
      <c r="B989" s="6"/>
      <c r="C989" s="6"/>
    </row>
    <row r="990" spans="1:3" ht="15.75" customHeight="1">
      <c r="A990" s="6"/>
      <c r="B990" s="6"/>
      <c r="C990" s="6"/>
    </row>
    <row r="991" spans="1:3" ht="15.75" customHeight="1">
      <c r="A991" s="6"/>
      <c r="B991" s="6"/>
      <c r="C991" s="6"/>
    </row>
  </sheetData>
  <mergeCells count="1">
    <mergeCell ref="A1:O1"/>
  </mergeCells>
  <conditionalFormatting sqref="D14:O14">
    <cfRule type="cellIs" dxfId="21" priority="1" operator="between">
      <formula>30</formula>
      <formula>32</formula>
    </cfRule>
    <cfRule type="cellIs" dxfId="20" priority="2" operator="equal">
      <formula>32</formula>
    </cfRule>
    <cfRule type="cellIs" dxfId="19" priority="3" operator="lessThan">
      <formula>30</formula>
    </cfRule>
    <cfRule type="cellIs" dxfId="18" priority="4" operator="greaterThan">
      <formula>32</formula>
    </cfRule>
  </conditionalFormatting>
  <conditionalFormatting sqref="D46:O46">
    <cfRule type="cellIs" dxfId="17" priority="5" operator="between">
      <formula>0.1</formula>
      <formula>0</formula>
    </cfRule>
    <cfRule type="cellIs" dxfId="16" priority="6" operator="greaterThan">
      <formula>0.1</formula>
    </cfRule>
  </conditionalFormatting>
  <conditionalFormatting sqref="D46:O47">
    <cfRule type="cellIs" dxfId="15" priority="7" operator="lessThan">
      <formula>0</formula>
    </cfRule>
  </conditionalFormatting>
  <conditionalFormatting sqref="D65:O65 Q65:AB65 AD65:AO65">
    <cfRule type="cellIs" dxfId="14" priority="8" operator="greaterThan">
      <formula>10000</formula>
    </cfRule>
    <cfRule type="cellIs" dxfId="13" priority="9" operator="between">
      <formula>0</formula>
      <formula>10000</formula>
    </cfRule>
  </conditionalFormatting>
  <conditionalFormatting sqref="D66:O66 Q66:AB66 AD66:AO66">
    <cfRule type="cellIs" dxfId="12" priority="10" operator="between">
      <formula>0</formula>
      <formula>100000</formula>
    </cfRule>
  </conditionalFormatting>
  <conditionalFormatting sqref="D66:O66 Q66:AB66 AD66:AP66">
    <cfRule type="cellIs" dxfId="11" priority="11" operator="greaterThan">
      <formula>100000</formula>
    </cfRule>
  </conditionalFormatting>
  <conditionalFormatting sqref="D66:O66 Q66:AB66">
    <cfRule type="cellIs" dxfId="10" priority="12" operator="lessThan">
      <formula>0</formula>
    </cfRule>
  </conditionalFormatting>
  <conditionalFormatting sqref="D65:AB65 AD65:AO66">
    <cfRule type="cellIs" dxfId="9" priority="13" operator="lessThan">
      <formula>0</formula>
    </cfRule>
  </conditionalFormatting>
  <conditionalFormatting sqref="Q14:AO14">
    <cfRule type="cellIs" dxfId="8" priority="14" operator="between">
      <formula>30</formula>
      <formula>32</formula>
    </cfRule>
    <cfRule type="cellIs" dxfId="7" priority="15" operator="equal">
      <formula>32</formula>
    </cfRule>
    <cfRule type="cellIs" dxfId="6" priority="16" operator="lessThan">
      <formula>30</formula>
    </cfRule>
    <cfRule type="cellIs" dxfId="5" priority="17" operator="greaterThan">
      <formula>32</formula>
    </cfRule>
  </conditionalFormatting>
  <conditionalFormatting sqref="Q46:AO46">
    <cfRule type="cellIs" dxfId="4" priority="18" operator="between">
      <formula>0.1</formula>
      <formula>0</formula>
    </cfRule>
    <cfRule type="cellIs" dxfId="3" priority="19" operator="greaterThan">
      <formula>0.1</formula>
    </cfRule>
  </conditionalFormatting>
  <conditionalFormatting sqref="AC46 Q46:AB47">
    <cfRule type="cellIs" dxfId="2" priority="20" operator="lessThan">
      <formula>0</formula>
    </cfRule>
  </conditionalFormatting>
  <conditionalFormatting sqref="AD46:AO47">
    <cfRule type="cellIs" dxfId="1" priority="27" operator="lessThan">
      <formula>0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AL1000"/>
  <sheetViews>
    <sheetView zoomScale="114" workbookViewId="0">
      <selection activeCell="G172" sqref="G172"/>
    </sheetView>
  </sheetViews>
  <sheetFormatPr defaultColWidth="14.42578125" defaultRowHeight="15" customHeight="1"/>
  <cols>
    <col min="1" max="1" width="19.7109375" customWidth="1"/>
    <col min="2" max="4" width="12.28515625" customWidth="1"/>
    <col min="5" max="13" width="11.5703125" customWidth="1"/>
    <col min="14" max="14" width="12.5703125" customWidth="1"/>
    <col min="15" max="15" width="12.85546875" customWidth="1"/>
    <col min="16" max="26" width="12.5703125" customWidth="1"/>
    <col min="27" max="37" width="14.85546875" customWidth="1"/>
    <col min="38" max="38" width="8.7109375" customWidth="1"/>
  </cols>
  <sheetData>
    <row r="2" spans="14:14">
      <c r="N2" s="8"/>
    </row>
    <row r="3" spans="14:14">
      <c r="N3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:6" ht="15.75" customHeight="1"/>
    <row r="82" spans="1:6" ht="15.75" customHeight="1"/>
    <row r="83" spans="1:6" ht="15.75" customHeight="1"/>
    <row r="84" spans="1:6" ht="15.75" customHeight="1"/>
    <row r="85" spans="1:6" ht="15.75" customHeight="1"/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>
      <c r="A91" s="8"/>
      <c r="B91" s="8"/>
      <c r="C91" s="93"/>
      <c r="E91" s="94"/>
      <c r="F91" s="95"/>
    </row>
    <row r="92" spans="1:6" ht="15.75" customHeight="1">
      <c r="A92" s="8"/>
      <c r="B92" s="8"/>
    </row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spans="1:16" ht="15.75" customHeight="1"/>
    <row r="114" spans="1:16" ht="15.75" customHeight="1"/>
    <row r="115" spans="1:16" ht="15.75" customHeight="1"/>
    <row r="116" spans="1:16" ht="15.75" customHeight="1">
      <c r="B116" s="13" t="str">
        <f>'2023 Forecast Totals'!D$3</f>
        <v>Jan</v>
      </c>
      <c r="C116" s="13" t="str">
        <f>'2023 Forecast Totals'!E$3</f>
        <v>Feb</v>
      </c>
      <c r="D116" s="13" t="str">
        <f>'2023 Forecast Totals'!F$3</f>
        <v>Mar</v>
      </c>
      <c r="E116" s="13" t="str">
        <f>'2023 Forecast Totals'!G$3</f>
        <v>Apr</v>
      </c>
      <c r="F116" s="13" t="str">
        <f>'2023 Forecast Totals'!H$3</f>
        <v>May</v>
      </c>
      <c r="G116" s="13" t="str">
        <f>'2023 Forecast Totals'!I$3</f>
        <v>Jun</v>
      </c>
      <c r="H116" s="13" t="str">
        <f>'2023 Forecast Totals'!J$3</f>
        <v>Jul</v>
      </c>
      <c r="I116" s="13" t="str">
        <f>'2023 Forecast Totals'!K$3</f>
        <v>Aug</v>
      </c>
      <c r="J116" s="13" t="str">
        <f>'2023 Forecast Totals'!L$3</f>
        <v>Sep</v>
      </c>
      <c r="K116" s="13" t="str">
        <f>'2023 Forecast Totals'!M$3</f>
        <v>Oct</v>
      </c>
      <c r="L116" s="13" t="str">
        <f>'2023 Forecast Totals'!N$3</f>
        <v>Nov</v>
      </c>
      <c r="M116" s="13" t="str">
        <f>'2023 Forecast Totals'!O$3</f>
        <v>Dec</v>
      </c>
    </row>
    <row r="117" spans="1:16" ht="15.75" customHeight="1">
      <c r="A117" s="13" t="str">
        <f>TEAMGROWTH!D27</f>
        <v>Avionics lead</v>
      </c>
      <c r="B117" s="96">
        <f>TEAMGROWTH!L27</f>
        <v>164.56825000000001</v>
      </c>
      <c r="C117" s="96">
        <f>TEAMGROWTH!N27</f>
        <v>164.56825000000001</v>
      </c>
      <c r="D117" s="96">
        <f>TEAMGROWTH!P27</f>
        <v>164.56825000000001</v>
      </c>
      <c r="E117" s="96">
        <f>TEAMGROWTH!R27</f>
        <v>164.56825000000001</v>
      </c>
      <c r="F117" s="96">
        <f>TEAMGROWTH!T27</f>
        <v>164.56825000000001</v>
      </c>
      <c r="G117" s="96">
        <f>TEAMGROWTH!V27</f>
        <v>164.56825000000001</v>
      </c>
      <c r="H117" s="96">
        <f>TEAMGROWTH!X27</f>
        <v>164.56825000000001</v>
      </c>
      <c r="I117" s="96">
        <f>TEAMGROWTH!Z27</f>
        <v>164.56825000000001</v>
      </c>
      <c r="J117" s="96">
        <f>TEAMGROWTH!AB27</f>
        <v>164.56825000000001</v>
      </c>
      <c r="K117" s="96">
        <f>TEAMGROWTH!AD27</f>
        <v>164.56825000000001</v>
      </c>
      <c r="L117" s="96">
        <f>TEAMGROWTH!AF27</f>
        <v>164.56825000000001</v>
      </c>
      <c r="M117" s="96">
        <f>TEAMGROWTH!AH27</f>
        <v>164.56825000000001</v>
      </c>
    </row>
    <row r="118" spans="1:16" ht="15.75" customHeight="1">
      <c r="A118" s="13" t="str">
        <f>TEAMGROWTH!D28</f>
        <v>Lead</v>
      </c>
      <c r="B118" s="96">
        <f>TEAMGROWTH!L28</f>
        <v>82.284125000000003</v>
      </c>
      <c r="C118" s="96">
        <f>TEAMGROWTH!N28</f>
        <v>82.284125000000003</v>
      </c>
      <c r="D118" s="96">
        <f>TEAMGROWTH!P28</f>
        <v>82.284125000000003</v>
      </c>
      <c r="E118" s="96">
        <f>TEAMGROWTH!R28</f>
        <v>82.284125000000003</v>
      </c>
      <c r="F118" s="96">
        <f>TEAMGROWTH!T28</f>
        <v>82.284125000000003</v>
      </c>
      <c r="G118" s="96">
        <f>TEAMGROWTH!V28</f>
        <v>82.284125000000003</v>
      </c>
      <c r="H118" s="96">
        <f>TEAMGROWTH!X28</f>
        <v>82.284125000000003</v>
      </c>
      <c r="I118" s="96">
        <f>TEAMGROWTH!Z28</f>
        <v>82.284125000000003</v>
      </c>
      <c r="J118" s="96">
        <f>TEAMGROWTH!AB28</f>
        <v>82.284125000000003</v>
      </c>
      <c r="K118" s="96">
        <f>TEAMGROWTH!AD28</f>
        <v>82.284125000000003</v>
      </c>
      <c r="L118" s="96">
        <f>TEAMGROWTH!AF28</f>
        <v>82.284125000000003</v>
      </c>
      <c r="M118" s="96">
        <f>TEAMGROWTH!AH28</f>
        <v>82.284125000000003</v>
      </c>
    </row>
    <row r="119" spans="1:16" ht="15.75" customHeight="1">
      <c r="A119" s="13" t="str">
        <f>TEAMGROWTH!D29</f>
        <v>Joe Vigil AP/AV</v>
      </c>
      <c r="B119" s="96">
        <f>TEAMGROWTH!L29</f>
        <v>164.56825000000001</v>
      </c>
      <c r="C119" s="96">
        <f>TEAMGROWTH!N29</f>
        <v>164.56825000000001</v>
      </c>
      <c r="D119" s="96">
        <f>TEAMGROWTH!P29</f>
        <v>164.56825000000001</v>
      </c>
      <c r="E119" s="96">
        <f>TEAMGROWTH!R29</f>
        <v>164.56825000000001</v>
      </c>
      <c r="F119" s="96">
        <f>TEAMGROWTH!T29</f>
        <v>164.56825000000001</v>
      </c>
      <c r="G119" s="96">
        <f>TEAMGROWTH!V29</f>
        <v>164.56825000000001</v>
      </c>
      <c r="H119" s="96">
        <f>TEAMGROWTH!X29</f>
        <v>164.56825000000001</v>
      </c>
      <c r="I119" s="96">
        <f>TEAMGROWTH!Z29</f>
        <v>164.56825000000001</v>
      </c>
      <c r="J119" s="96">
        <f>TEAMGROWTH!AB29</f>
        <v>164.56825000000001</v>
      </c>
      <c r="K119" s="96">
        <f>TEAMGROWTH!AD29</f>
        <v>164.56825000000001</v>
      </c>
      <c r="L119" s="96">
        <f>TEAMGROWTH!AF29</f>
        <v>164.56825000000001</v>
      </c>
      <c r="M119" s="96">
        <f>TEAMGROWTH!AH29</f>
        <v>164.56825000000001</v>
      </c>
      <c r="P119" s="97"/>
    </row>
    <row r="120" spans="1:16" ht="15.75" customHeight="1">
      <c r="A120" s="13" t="str">
        <f>TEAMGROWTH!D30</f>
        <v>X Mech 1, 1-3YR AP</v>
      </c>
      <c r="B120" s="96">
        <f>TEAMGROWTH!L30</f>
        <v>115.19777499999999</v>
      </c>
      <c r="C120" s="96">
        <f>TEAMGROWTH!N30</f>
        <v>143.99721875</v>
      </c>
      <c r="D120" s="96">
        <f>TEAMGROWTH!P30</f>
        <v>164.56825000000001</v>
      </c>
      <c r="E120" s="96">
        <f>TEAMGROWTH!R30</f>
        <v>164.56825000000001</v>
      </c>
      <c r="F120" s="96">
        <f>TEAMGROWTH!T30</f>
        <v>164.56825000000001</v>
      </c>
      <c r="G120" s="96">
        <f>TEAMGROWTH!V30</f>
        <v>164.56825000000001</v>
      </c>
      <c r="H120" s="96">
        <f>TEAMGROWTH!X30</f>
        <v>164.56825000000001</v>
      </c>
      <c r="I120" s="96">
        <f>TEAMGROWTH!Z30</f>
        <v>164.56825000000001</v>
      </c>
      <c r="J120" s="96">
        <f>TEAMGROWTH!AB30</f>
        <v>164.56825000000001</v>
      </c>
      <c r="K120" s="96">
        <f>TEAMGROWTH!AD30</f>
        <v>164.56825000000001</v>
      </c>
      <c r="L120" s="96">
        <f>TEAMGROWTH!AF30</f>
        <v>164.56825000000001</v>
      </c>
      <c r="M120" s="96">
        <f>TEAMGROWTH!AH30</f>
        <v>164.56825000000001</v>
      </c>
    </row>
    <row r="121" spans="1:16" ht="15.75" customHeight="1">
      <c r="A121" s="13" t="str">
        <f>TEAMGROWTH!D31</f>
        <v>X Mech 2, 1-3YR Entry AP</v>
      </c>
      <c r="B121" s="96">
        <f>TEAMGROWTH!L31</f>
        <v>115.19777499999999</v>
      </c>
      <c r="C121" s="96">
        <f>TEAMGROWTH!N31</f>
        <v>143.99721875</v>
      </c>
      <c r="D121" s="96">
        <f>TEAMGROWTH!P31</f>
        <v>164.56825000000001</v>
      </c>
      <c r="E121" s="96">
        <f>TEAMGROWTH!R31</f>
        <v>164.56825000000001</v>
      </c>
      <c r="F121" s="96">
        <f>TEAMGROWTH!T31</f>
        <v>164.56825000000001</v>
      </c>
      <c r="G121" s="96">
        <f>TEAMGROWTH!V31</f>
        <v>164.56825000000001</v>
      </c>
      <c r="H121" s="96">
        <f>TEAMGROWTH!X31</f>
        <v>164.56825000000001</v>
      </c>
      <c r="I121" s="96">
        <f>TEAMGROWTH!Z31</f>
        <v>164.56825000000001</v>
      </c>
      <c r="J121" s="96">
        <f>TEAMGROWTH!AB31</f>
        <v>164.56825000000001</v>
      </c>
      <c r="K121" s="96">
        <f>TEAMGROWTH!AD31</f>
        <v>164.56825000000001</v>
      </c>
      <c r="L121" s="96">
        <f>TEAMGROWTH!AF31</f>
        <v>164.56825000000001</v>
      </c>
      <c r="M121" s="96">
        <f>TEAMGROWTH!AH31</f>
        <v>164.56825000000001</v>
      </c>
    </row>
    <row r="122" spans="1:16" ht="15.75" customHeight="1">
      <c r="A122" s="13" t="str">
        <f>TEAMGROWTH!D32</f>
        <v>X Mech 3,  Entry AP</v>
      </c>
      <c r="B122" s="96">
        <f>TEAMGROWTH!L32</f>
        <v>115.19777499999999</v>
      </c>
      <c r="C122" s="96">
        <f>TEAMGROWTH!N32</f>
        <v>143.99721875</v>
      </c>
      <c r="D122" s="96">
        <f>TEAMGROWTH!P32</f>
        <v>164.56825000000001</v>
      </c>
      <c r="E122" s="96">
        <f>TEAMGROWTH!R32</f>
        <v>164.56825000000001</v>
      </c>
      <c r="F122" s="96">
        <f>TEAMGROWTH!T32</f>
        <v>164.56825000000001</v>
      </c>
      <c r="G122" s="96">
        <f>TEAMGROWTH!V32</f>
        <v>164.56825000000001</v>
      </c>
      <c r="H122" s="96">
        <f>TEAMGROWTH!X32</f>
        <v>164.56825000000001</v>
      </c>
      <c r="I122" s="96">
        <f>TEAMGROWTH!Z32</f>
        <v>164.56825000000001</v>
      </c>
      <c r="J122" s="96">
        <f>TEAMGROWTH!AB32</f>
        <v>164.56825000000001</v>
      </c>
      <c r="K122" s="96">
        <f>TEAMGROWTH!AD32</f>
        <v>164.56825000000001</v>
      </c>
      <c r="L122" s="96">
        <f>TEAMGROWTH!AF32</f>
        <v>164.56825000000001</v>
      </c>
      <c r="M122" s="96">
        <f>TEAMGROWTH!AH32</f>
        <v>164.56825000000001</v>
      </c>
    </row>
    <row r="123" spans="1:16" ht="15.75" customHeight="1">
      <c r="A123" s="13" t="str">
        <f>TEAMGROWTH!D33</f>
        <v>X Mech 4,  Entry AP</v>
      </c>
      <c r="B123" s="96">
        <f>TEAMGROWTH!L33</f>
        <v>98.740949999999998</v>
      </c>
      <c r="C123" s="96">
        <f>TEAMGROWTH!N33</f>
        <v>115.19777499999999</v>
      </c>
      <c r="D123" s="96">
        <f>TEAMGROWTH!P33</f>
        <v>143.99721875</v>
      </c>
      <c r="E123" s="96">
        <f>TEAMGROWTH!R33</f>
        <v>164.56825000000001</v>
      </c>
      <c r="F123" s="96">
        <f>TEAMGROWTH!T33</f>
        <v>164.56825000000001</v>
      </c>
      <c r="G123" s="96">
        <f>TEAMGROWTH!V33</f>
        <v>164.56825000000001</v>
      </c>
      <c r="H123" s="96">
        <f>TEAMGROWTH!X33</f>
        <v>164.56825000000001</v>
      </c>
      <c r="I123" s="96">
        <f>TEAMGROWTH!Z33</f>
        <v>164.56825000000001</v>
      </c>
      <c r="J123" s="96">
        <f>TEAMGROWTH!AB33</f>
        <v>164.56825000000001</v>
      </c>
      <c r="K123" s="96">
        <f>TEAMGROWTH!AD33</f>
        <v>164.56825000000001</v>
      </c>
      <c r="L123" s="96">
        <f>TEAMGROWTH!AF33</f>
        <v>164.56825000000001</v>
      </c>
      <c r="M123" s="96">
        <f>TEAMGROWTH!AH33</f>
        <v>164.56825000000001</v>
      </c>
    </row>
    <row r="124" spans="1:16" ht="15.75" customHeight="1">
      <c r="A124" s="13" t="str">
        <f>TEAMGROWTH!D34</f>
        <v>Detailer and line support</v>
      </c>
      <c r="B124" s="96">
        <f>TEAMGROWTH!L34</f>
        <v>49.370474999999999</v>
      </c>
      <c r="C124" s="96">
        <f>TEAMGROWTH!N34</f>
        <v>49.370474999999999</v>
      </c>
      <c r="D124" s="96">
        <f>TEAMGROWTH!P34</f>
        <v>49.370474999999999</v>
      </c>
      <c r="E124" s="96">
        <f>TEAMGROWTH!R34</f>
        <v>49.370474999999999</v>
      </c>
      <c r="F124" s="96">
        <f>TEAMGROWTH!T34</f>
        <v>49.370474999999999</v>
      </c>
      <c r="G124" s="96">
        <f>TEAMGROWTH!V34</f>
        <v>49.370474999999999</v>
      </c>
      <c r="H124" s="96">
        <f>TEAMGROWTH!X34</f>
        <v>49.370474999999999</v>
      </c>
      <c r="I124" s="96">
        <f>TEAMGROWTH!Z34</f>
        <v>49.370474999999999</v>
      </c>
      <c r="J124" s="96">
        <f>TEAMGROWTH!AB34</f>
        <v>49.370474999999999</v>
      </c>
      <c r="K124" s="96">
        <f>TEAMGROWTH!AD34</f>
        <v>49.370474999999999</v>
      </c>
      <c r="L124" s="96">
        <f>TEAMGROWTH!AF34</f>
        <v>49.370474999999999</v>
      </c>
      <c r="M124" s="96">
        <f>TEAMGROWTH!AH34</f>
        <v>49.370474999999999</v>
      </c>
    </row>
    <row r="125" spans="1:16" ht="15.75" customHeight="1">
      <c r="A125" s="13" t="e">
        <f>TEAMGROWTH!#REF!</f>
        <v>#REF!</v>
      </c>
      <c r="B125" s="13" t="e">
        <f>TEAMGROWTH!#REF!</f>
        <v>#REF!</v>
      </c>
      <c r="C125" s="13" t="e">
        <f>TEAMGROWTH!#REF!</f>
        <v>#REF!</v>
      </c>
      <c r="D125" s="13" t="e">
        <f>TEAMGROWTH!#REF!</f>
        <v>#REF!</v>
      </c>
      <c r="E125" s="13" t="e">
        <f>TEAMGROWTH!#REF!</f>
        <v>#REF!</v>
      </c>
      <c r="F125" s="13" t="e">
        <f>TEAMGROWTH!#REF!</f>
        <v>#REF!</v>
      </c>
      <c r="G125" s="13" t="e">
        <f>TEAMGROWTH!#REF!</f>
        <v>#REF!</v>
      </c>
      <c r="H125" s="13" t="e">
        <f>TEAMGROWTH!#REF!</f>
        <v>#REF!</v>
      </c>
      <c r="I125" s="13" t="e">
        <f>TEAMGROWTH!#REF!</f>
        <v>#REF!</v>
      </c>
      <c r="J125" s="13" t="e">
        <f>TEAMGROWTH!#REF!</f>
        <v>#REF!</v>
      </c>
      <c r="K125" s="13" t="e">
        <f>TEAMGROWTH!#REF!</f>
        <v>#REF!</v>
      </c>
      <c r="L125" s="13" t="e">
        <f>TEAMGROWTH!#REF!</f>
        <v>#REF!</v>
      </c>
      <c r="M125" s="13" t="e">
        <f>TEAMGROWTH!#REF!</f>
        <v>#REF!</v>
      </c>
    </row>
    <row r="126" spans="1:16" ht="15.75" customHeight="1">
      <c r="A126" s="13" t="e">
        <f>TEAMGROWTH!#REF!</f>
        <v>#REF!</v>
      </c>
      <c r="B126" s="13" t="e">
        <f>TEAMGROWTH!#REF!</f>
        <v>#REF!</v>
      </c>
      <c r="C126" s="13" t="e">
        <f>TEAMGROWTH!#REF!</f>
        <v>#REF!</v>
      </c>
      <c r="D126" s="13" t="e">
        <f>TEAMGROWTH!#REF!</f>
        <v>#REF!</v>
      </c>
      <c r="E126" s="13" t="e">
        <f>TEAMGROWTH!#REF!</f>
        <v>#REF!</v>
      </c>
      <c r="F126" s="13" t="e">
        <f>TEAMGROWTH!#REF!</f>
        <v>#REF!</v>
      </c>
      <c r="G126" s="13" t="e">
        <f>TEAMGROWTH!#REF!</f>
        <v>#REF!</v>
      </c>
      <c r="H126" s="13" t="e">
        <f>TEAMGROWTH!#REF!</f>
        <v>#REF!</v>
      </c>
      <c r="I126" s="13" t="e">
        <f>TEAMGROWTH!#REF!</f>
        <v>#REF!</v>
      </c>
      <c r="J126" s="13" t="e">
        <f>TEAMGROWTH!#REF!</f>
        <v>#REF!</v>
      </c>
      <c r="K126" s="13" t="e">
        <f>TEAMGROWTH!#REF!</f>
        <v>#REF!</v>
      </c>
      <c r="L126" s="13" t="e">
        <f>TEAMGROWTH!#REF!</f>
        <v>#REF!</v>
      </c>
      <c r="M126" s="13" t="e">
        <f>TEAMGROWTH!#REF!</f>
        <v>#REF!</v>
      </c>
    </row>
    <row r="127" spans="1:16" ht="15.75" customHeight="1">
      <c r="A127" s="13" t="e">
        <f>TEAMGROWTH!#REF!</f>
        <v>#REF!</v>
      </c>
      <c r="B127" s="13" t="e">
        <f>TEAMGROWTH!#REF!</f>
        <v>#REF!</v>
      </c>
      <c r="C127" s="13" t="e">
        <f>TEAMGROWTH!#REF!</f>
        <v>#REF!</v>
      </c>
      <c r="D127" s="13" t="e">
        <f>TEAMGROWTH!#REF!</f>
        <v>#REF!</v>
      </c>
      <c r="E127" s="13" t="e">
        <f>TEAMGROWTH!#REF!</f>
        <v>#REF!</v>
      </c>
      <c r="F127" s="13" t="e">
        <f>TEAMGROWTH!#REF!</f>
        <v>#REF!</v>
      </c>
      <c r="G127" s="13" t="e">
        <f>TEAMGROWTH!#REF!</f>
        <v>#REF!</v>
      </c>
      <c r="H127" s="13" t="e">
        <f>TEAMGROWTH!#REF!</f>
        <v>#REF!</v>
      </c>
      <c r="I127" s="13" t="e">
        <f>TEAMGROWTH!#REF!</f>
        <v>#REF!</v>
      </c>
      <c r="J127" s="13" t="e">
        <f>TEAMGROWTH!#REF!</f>
        <v>#REF!</v>
      </c>
      <c r="K127" s="13" t="e">
        <f>TEAMGROWTH!#REF!</f>
        <v>#REF!</v>
      </c>
      <c r="L127" s="13" t="e">
        <f>TEAMGROWTH!#REF!</f>
        <v>#REF!</v>
      </c>
      <c r="M127" s="13" t="e">
        <f>TEAMGROWTH!#REF!</f>
        <v>#REF!</v>
      </c>
    </row>
    <row r="128" spans="1:16" ht="15.75" customHeight="1">
      <c r="A128" s="13" t="e">
        <f>TEAMGROWTH!#REF!</f>
        <v>#REF!</v>
      </c>
      <c r="B128" s="13" t="e">
        <f>TEAMGROWTH!#REF!</f>
        <v>#REF!</v>
      </c>
      <c r="C128" s="13" t="e">
        <f>TEAMGROWTH!#REF!</f>
        <v>#REF!</v>
      </c>
      <c r="D128" s="13" t="e">
        <f>TEAMGROWTH!#REF!</f>
        <v>#REF!</v>
      </c>
      <c r="E128" s="13" t="e">
        <f>TEAMGROWTH!#REF!</f>
        <v>#REF!</v>
      </c>
      <c r="F128" s="13" t="e">
        <f>TEAMGROWTH!#REF!</f>
        <v>#REF!</v>
      </c>
      <c r="G128" s="13" t="e">
        <f>TEAMGROWTH!#REF!</f>
        <v>#REF!</v>
      </c>
      <c r="H128" s="13" t="e">
        <f>TEAMGROWTH!#REF!</f>
        <v>#REF!</v>
      </c>
      <c r="I128" s="13" t="e">
        <f>TEAMGROWTH!#REF!</f>
        <v>#REF!</v>
      </c>
      <c r="J128" s="13" t="e">
        <f>TEAMGROWTH!#REF!</f>
        <v>#REF!</v>
      </c>
      <c r="K128" s="13" t="e">
        <f>TEAMGROWTH!#REF!</f>
        <v>#REF!</v>
      </c>
      <c r="L128" s="13" t="e">
        <f>TEAMGROWTH!#REF!</f>
        <v>#REF!</v>
      </c>
      <c r="M128" s="13" t="e">
        <f>TEAMGROWTH!#REF!</f>
        <v>#REF!</v>
      </c>
    </row>
    <row r="129" spans="1:13" ht="15.75" customHeight="1">
      <c r="A129" s="13" t="e">
        <f>TEAMGROWTH!#REF!</f>
        <v>#REF!</v>
      </c>
      <c r="B129" s="13" t="e">
        <f>TEAMGROWTH!#REF!</f>
        <v>#REF!</v>
      </c>
      <c r="C129" s="13" t="e">
        <f>TEAMGROWTH!#REF!</f>
        <v>#REF!</v>
      </c>
      <c r="D129" s="13" t="e">
        <f>TEAMGROWTH!#REF!</f>
        <v>#REF!</v>
      </c>
      <c r="E129" s="13" t="e">
        <f>TEAMGROWTH!#REF!</f>
        <v>#REF!</v>
      </c>
      <c r="F129" s="13" t="e">
        <f>TEAMGROWTH!#REF!</f>
        <v>#REF!</v>
      </c>
      <c r="G129" s="13" t="e">
        <f>TEAMGROWTH!#REF!</f>
        <v>#REF!</v>
      </c>
      <c r="H129" s="13" t="e">
        <f>TEAMGROWTH!#REF!</f>
        <v>#REF!</v>
      </c>
      <c r="I129" s="13" t="e">
        <f>TEAMGROWTH!#REF!</f>
        <v>#REF!</v>
      </c>
      <c r="J129" s="13" t="e">
        <f>TEAMGROWTH!#REF!</f>
        <v>#REF!</v>
      </c>
      <c r="K129" s="13" t="e">
        <f>TEAMGROWTH!#REF!</f>
        <v>#REF!</v>
      </c>
      <c r="L129" s="13" t="e">
        <f>TEAMGROWTH!#REF!</f>
        <v>#REF!</v>
      </c>
      <c r="M129" s="13" t="e">
        <f>TEAMGROWTH!#REF!</f>
        <v>#REF!</v>
      </c>
    </row>
    <row r="130" spans="1:13" ht="15.75" customHeight="1">
      <c r="A130" s="13" t="e">
        <f>TEAMGROWTH!#REF!</f>
        <v>#REF!</v>
      </c>
      <c r="B130" s="13" t="e">
        <f>TEAMGROWTH!#REF!</f>
        <v>#REF!</v>
      </c>
      <c r="C130" s="13" t="e">
        <f>TEAMGROWTH!#REF!</f>
        <v>#REF!</v>
      </c>
      <c r="D130" s="13" t="e">
        <f>TEAMGROWTH!#REF!</f>
        <v>#REF!</v>
      </c>
      <c r="E130" s="13" t="e">
        <f>TEAMGROWTH!#REF!</f>
        <v>#REF!</v>
      </c>
      <c r="F130" s="13" t="e">
        <f>TEAMGROWTH!#REF!</f>
        <v>#REF!</v>
      </c>
      <c r="G130" s="13" t="e">
        <f>TEAMGROWTH!#REF!</f>
        <v>#REF!</v>
      </c>
      <c r="H130" s="13" t="e">
        <f>TEAMGROWTH!#REF!</f>
        <v>#REF!</v>
      </c>
      <c r="I130" s="13" t="e">
        <f>TEAMGROWTH!#REF!</f>
        <v>#REF!</v>
      </c>
      <c r="J130" s="13" t="e">
        <f>TEAMGROWTH!#REF!</f>
        <v>#REF!</v>
      </c>
      <c r="K130" s="13" t="e">
        <f>TEAMGROWTH!#REF!</f>
        <v>#REF!</v>
      </c>
      <c r="L130" s="13" t="e">
        <f>TEAMGROWTH!#REF!</f>
        <v>#REF!</v>
      </c>
      <c r="M130" s="13" t="e">
        <f>TEAMGROWTH!#REF!</f>
        <v>#REF!</v>
      </c>
    </row>
    <row r="131" spans="1:13" ht="15.75" customHeight="1">
      <c r="A131" s="13" t="e">
        <f>TEAMGROWTH!#REF!</f>
        <v>#REF!</v>
      </c>
      <c r="B131" s="13" t="e">
        <f>TEAMGROWTH!#REF!</f>
        <v>#REF!</v>
      </c>
      <c r="C131" s="13" t="e">
        <f>TEAMGROWTH!#REF!</f>
        <v>#REF!</v>
      </c>
      <c r="D131" s="13" t="e">
        <f>TEAMGROWTH!#REF!</f>
        <v>#REF!</v>
      </c>
      <c r="E131" s="13" t="e">
        <f>TEAMGROWTH!#REF!</f>
        <v>#REF!</v>
      </c>
      <c r="F131" s="13" t="e">
        <f>TEAMGROWTH!#REF!</f>
        <v>#REF!</v>
      </c>
      <c r="G131" s="13" t="e">
        <f>TEAMGROWTH!#REF!</f>
        <v>#REF!</v>
      </c>
      <c r="H131" s="13" t="e">
        <f>TEAMGROWTH!#REF!</f>
        <v>#REF!</v>
      </c>
      <c r="I131" s="13" t="e">
        <f>TEAMGROWTH!#REF!</f>
        <v>#REF!</v>
      </c>
      <c r="J131" s="13" t="e">
        <f>TEAMGROWTH!#REF!</f>
        <v>#REF!</v>
      </c>
      <c r="K131" s="13" t="e">
        <f>TEAMGROWTH!#REF!</f>
        <v>#REF!</v>
      </c>
      <c r="L131" s="13" t="e">
        <f>TEAMGROWTH!#REF!</f>
        <v>#REF!</v>
      </c>
      <c r="M131" s="13" t="e">
        <f>TEAMGROWTH!#REF!</f>
        <v>#REF!</v>
      </c>
    </row>
    <row r="132" spans="1:13" ht="15.75" customHeight="1">
      <c r="A132" s="13" t="e">
        <f>TEAMGROWTH!#REF!</f>
        <v>#REF!</v>
      </c>
      <c r="B132" s="13" t="e">
        <f>TEAMGROWTH!#REF!</f>
        <v>#REF!</v>
      </c>
      <c r="C132" s="13" t="e">
        <f>TEAMGROWTH!#REF!</f>
        <v>#REF!</v>
      </c>
      <c r="D132" s="13" t="e">
        <f>TEAMGROWTH!#REF!</f>
        <v>#REF!</v>
      </c>
      <c r="E132" s="13" t="e">
        <f>TEAMGROWTH!#REF!</f>
        <v>#REF!</v>
      </c>
      <c r="F132" s="13" t="e">
        <f>TEAMGROWTH!#REF!</f>
        <v>#REF!</v>
      </c>
      <c r="G132" s="13" t="e">
        <f>TEAMGROWTH!#REF!</f>
        <v>#REF!</v>
      </c>
      <c r="H132" s="13" t="e">
        <f>TEAMGROWTH!#REF!</f>
        <v>#REF!</v>
      </c>
      <c r="I132" s="13" t="e">
        <f>TEAMGROWTH!#REF!</f>
        <v>#REF!</v>
      </c>
      <c r="J132" s="13" t="e">
        <f>TEAMGROWTH!#REF!</f>
        <v>#REF!</v>
      </c>
      <c r="K132" s="13" t="e">
        <f>TEAMGROWTH!#REF!</f>
        <v>#REF!</v>
      </c>
      <c r="L132" s="13" t="e">
        <f>TEAMGROWTH!#REF!</f>
        <v>#REF!</v>
      </c>
      <c r="M132" s="13" t="e">
        <f>TEAMGROWTH!#REF!</f>
        <v>#REF!</v>
      </c>
    </row>
    <row r="133" spans="1:13" ht="15.75" customHeight="1">
      <c r="A133" s="13" t="e">
        <f>TEAMGROWTH!#REF!</f>
        <v>#REF!</v>
      </c>
      <c r="B133" s="13" t="e">
        <f>TEAMGROWTH!#REF!</f>
        <v>#REF!</v>
      </c>
      <c r="C133" s="13" t="e">
        <f>TEAMGROWTH!#REF!</f>
        <v>#REF!</v>
      </c>
      <c r="D133" s="13" t="e">
        <f>TEAMGROWTH!#REF!</f>
        <v>#REF!</v>
      </c>
      <c r="E133" s="13" t="e">
        <f>TEAMGROWTH!#REF!</f>
        <v>#REF!</v>
      </c>
      <c r="F133" s="13" t="e">
        <f>TEAMGROWTH!#REF!</f>
        <v>#REF!</v>
      </c>
      <c r="G133" s="13" t="e">
        <f>TEAMGROWTH!#REF!</f>
        <v>#REF!</v>
      </c>
      <c r="H133" s="13" t="e">
        <f>TEAMGROWTH!#REF!</f>
        <v>#REF!</v>
      </c>
      <c r="I133" s="13" t="e">
        <f>TEAMGROWTH!#REF!</f>
        <v>#REF!</v>
      </c>
      <c r="J133" s="13" t="e">
        <f>TEAMGROWTH!#REF!</f>
        <v>#REF!</v>
      </c>
      <c r="K133" s="13" t="e">
        <f>TEAMGROWTH!#REF!</f>
        <v>#REF!</v>
      </c>
      <c r="L133" s="13" t="e">
        <f>TEAMGROWTH!#REF!</f>
        <v>#REF!</v>
      </c>
      <c r="M133" s="13" t="e">
        <f>TEAMGROWTH!#REF!</f>
        <v>#REF!</v>
      </c>
    </row>
    <row r="134" spans="1:13" ht="15.75" customHeight="1">
      <c r="A134" s="13" t="e">
        <f>TEAMGROWTH!#REF!</f>
        <v>#REF!</v>
      </c>
      <c r="B134" s="13" t="e">
        <f>TEAMGROWTH!#REF!</f>
        <v>#REF!</v>
      </c>
      <c r="C134" s="13" t="e">
        <f>TEAMGROWTH!#REF!</f>
        <v>#REF!</v>
      </c>
      <c r="D134" s="13" t="e">
        <f>TEAMGROWTH!#REF!</f>
        <v>#REF!</v>
      </c>
      <c r="E134" s="13" t="e">
        <f>TEAMGROWTH!#REF!</f>
        <v>#REF!</v>
      </c>
      <c r="F134" s="13" t="e">
        <f>TEAMGROWTH!#REF!</f>
        <v>#REF!</v>
      </c>
      <c r="G134" s="13" t="e">
        <f>TEAMGROWTH!#REF!</f>
        <v>#REF!</v>
      </c>
      <c r="H134" s="13" t="e">
        <f>TEAMGROWTH!#REF!</f>
        <v>#REF!</v>
      </c>
      <c r="I134" s="13" t="e">
        <f>TEAMGROWTH!#REF!</f>
        <v>#REF!</v>
      </c>
      <c r="J134" s="13" t="e">
        <f>TEAMGROWTH!#REF!</f>
        <v>#REF!</v>
      </c>
      <c r="K134" s="13" t="e">
        <f>TEAMGROWTH!#REF!</f>
        <v>#REF!</v>
      </c>
      <c r="L134" s="13" t="e">
        <f>TEAMGROWTH!#REF!</f>
        <v>#REF!</v>
      </c>
      <c r="M134" s="13" t="e">
        <f>TEAMGROWTH!#REF!</f>
        <v>#REF!</v>
      </c>
    </row>
    <row r="135" spans="1:13" ht="15.75" customHeight="1">
      <c r="A135" s="13" t="e">
        <f>TEAMGROWTH!#REF!</f>
        <v>#REF!</v>
      </c>
      <c r="B135" s="13" t="e">
        <f>TEAMGROWTH!#REF!</f>
        <v>#REF!</v>
      </c>
      <c r="C135" s="13" t="e">
        <f>TEAMGROWTH!#REF!</f>
        <v>#REF!</v>
      </c>
      <c r="D135" s="13" t="e">
        <f>TEAMGROWTH!#REF!</f>
        <v>#REF!</v>
      </c>
      <c r="E135" s="13" t="e">
        <f>TEAMGROWTH!#REF!</f>
        <v>#REF!</v>
      </c>
      <c r="F135" s="13" t="e">
        <f>TEAMGROWTH!#REF!</f>
        <v>#REF!</v>
      </c>
      <c r="G135" s="13" t="e">
        <f>TEAMGROWTH!#REF!</f>
        <v>#REF!</v>
      </c>
      <c r="H135" s="13" t="e">
        <f>TEAMGROWTH!#REF!</f>
        <v>#REF!</v>
      </c>
      <c r="I135" s="13" t="e">
        <f>TEAMGROWTH!#REF!</f>
        <v>#REF!</v>
      </c>
      <c r="J135" s="13" t="e">
        <f>TEAMGROWTH!#REF!</f>
        <v>#REF!</v>
      </c>
      <c r="K135" s="13" t="e">
        <f>TEAMGROWTH!#REF!</f>
        <v>#REF!</v>
      </c>
      <c r="L135" s="13" t="e">
        <f>TEAMGROWTH!#REF!</f>
        <v>#REF!</v>
      </c>
      <c r="M135" s="13" t="e">
        <f>TEAMGROWTH!#REF!</f>
        <v>#REF!</v>
      </c>
    </row>
    <row r="136" spans="1:13" ht="15.75" customHeight="1"/>
    <row r="137" spans="1:13" ht="15.75" customHeight="1"/>
    <row r="138" spans="1:13" ht="15.75" customHeight="1">
      <c r="B138" s="13" t="str">
        <f>'2023 Forecast Totals'!D$3</f>
        <v>Jan</v>
      </c>
      <c r="C138" s="13" t="str">
        <f>'2023 Forecast Totals'!E$3</f>
        <v>Feb</v>
      </c>
      <c r="D138" s="13" t="str">
        <f>'2023 Forecast Totals'!F$3</f>
        <v>Mar</v>
      </c>
      <c r="E138" s="13" t="str">
        <f>'2023 Forecast Totals'!G$3</f>
        <v>Apr</v>
      </c>
      <c r="F138" s="13" t="str">
        <f>'2023 Forecast Totals'!H$3</f>
        <v>May</v>
      </c>
      <c r="G138" s="13" t="str">
        <f>'2023 Forecast Totals'!I$3</f>
        <v>Jun</v>
      </c>
      <c r="H138" s="13" t="str">
        <f>'2023 Forecast Totals'!J$3</f>
        <v>Jul</v>
      </c>
      <c r="I138" s="13" t="str">
        <f>'2023 Forecast Totals'!K$3</f>
        <v>Aug</v>
      </c>
      <c r="J138" s="13" t="str">
        <f>'2023 Forecast Totals'!L$3</f>
        <v>Sep</v>
      </c>
      <c r="K138" s="13" t="str">
        <f>'2023 Forecast Totals'!M$3</f>
        <v>Oct</v>
      </c>
      <c r="L138" s="13" t="str">
        <f>'2023 Forecast Totals'!N$3</f>
        <v>Nov</v>
      </c>
      <c r="M138" s="13" t="str">
        <f>'2023 Forecast Totals'!O$3</f>
        <v>Dec</v>
      </c>
    </row>
    <row r="139" spans="1:13" ht="15.75" customHeight="1">
      <c r="A139" s="13" t="str">
        <f>TEAMGROWTH!D58</f>
        <v xml:space="preserve">Drew Sandoval </v>
      </c>
      <c r="B139" s="96">
        <f>TEAMGROWTH!L58</f>
        <v>164.56825000000001</v>
      </c>
      <c r="C139" s="96">
        <f>TEAMGROWTH!N58</f>
        <v>164.56825000000001</v>
      </c>
      <c r="D139" s="96">
        <f>TEAMGROWTH!P58</f>
        <v>164.56825000000001</v>
      </c>
      <c r="E139" s="96">
        <f>TEAMGROWTH!R58</f>
        <v>164.56825000000001</v>
      </c>
      <c r="F139" s="96">
        <f>TEAMGROWTH!T58</f>
        <v>164.56825000000001</v>
      </c>
      <c r="G139" s="96">
        <f>TEAMGROWTH!V58</f>
        <v>164.56825000000001</v>
      </c>
      <c r="H139" s="96">
        <f>TEAMGROWTH!X58</f>
        <v>164.56825000000001</v>
      </c>
      <c r="I139" s="96">
        <f>TEAMGROWTH!Z58</f>
        <v>164.56825000000001</v>
      </c>
      <c r="J139" s="96">
        <f>TEAMGROWTH!AB58</f>
        <v>164.56825000000001</v>
      </c>
      <c r="K139" s="96">
        <f>TEAMGROWTH!AD58</f>
        <v>164.56825000000001</v>
      </c>
      <c r="L139" s="96">
        <f>TEAMGROWTH!AF58</f>
        <v>164.56825000000001</v>
      </c>
      <c r="M139" s="96">
        <f>TEAMGROWTH!AH58</f>
        <v>164.56825000000001</v>
      </c>
    </row>
    <row r="140" spans="1:13" ht="15.75" customHeight="1">
      <c r="A140" s="13" t="e">
        <f>TEAMGROWTH!#REF!</f>
        <v>#REF!</v>
      </c>
      <c r="B140" s="13" t="e">
        <f>TEAMGROWTH!#REF!</f>
        <v>#REF!</v>
      </c>
      <c r="C140" s="13" t="e">
        <f>TEAMGROWTH!#REF!</f>
        <v>#REF!</v>
      </c>
      <c r="D140" s="13" t="e">
        <f>TEAMGROWTH!#REF!</f>
        <v>#REF!</v>
      </c>
      <c r="E140" s="13" t="e">
        <f>TEAMGROWTH!#REF!</f>
        <v>#REF!</v>
      </c>
      <c r="F140" s="13" t="e">
        <f>TEAMGROWTH!#REF!</f>
        <v>#REF!</v>
      </c>
      <c r="G140" s="13" t="e">
        <f>TEAMGROWTH!#REF!</f>
        <v>#REF!</v>
      </c>
      <c r="H140" s="13" t="e">
        <f>TEAMGROWTH!#REF!</f>
        <v>#REF!</v>
      </c>
      <c r="I140" s="13" t="e">
        <f>TEAMGROWTH!#REF!</f>
        <v>#REF!</v>
      </c>
      <c r="J140" s="13" t="e">
        <f>TEAMGROWTH!#REF!</f>
        <v>#REF!</v>
      </c>
      <c r="K140" s="13" t="e">
        <f>TEAMGROWTH!#REF!</f>
        <v>#REF!</v>
      </c>
      <c r="L140" s="13" t="e">
        <f>TEAMGROWTH!#REF!</f>
        <v>#REF!</v>
      </c>
      <c r="M140" s="13" t="e">
        <f>TEAMGROWTH!#REF!</f>
        <v>#REF!</v>
      </c>
    </row>
    <row r="141" spans="1:13" ht="15.75" customHeight="1">
      <c r="A141" s="13" t="e">
        <f>TEAMGROWTH!#REF!</f>
        <v>#REF!</v>
      </c>
      <c r="B141" s="13" t="e">
        <f>TEAMGROWTH!#REF!</f>
        <v>#REF!</v>
      </c>
      <c r="C141" s="13" t="e">
        <f>TEAMGROWTH!#REF!</f>
        <v>#REF!</v>
      </c>
      <c r="D141" s="13" t="e">
        <f>TEAMGROWTH!#REF!</f>
        <v>#REF!</v>
      </c>
      <c r="E141" s="13" t="e">
        <f>TEAMGROWTH!#REF!</f>
        <v>#REF!</v>
      </c>
      <c r="F141" s="13" t="e">
        <f>TEAMGROWTH!#REF!</f>
        <v>#REF!</v>
      </c>
      <c r="G141" s="13" t="e">
        <f>TEAMGROWTH!#REF!</f>
        <v>#REF!</v>
      </c>
      <c r="H141" s="13" t="e">
        <f>TEAMGROWTH!#REF!</f>
        <v>#REF!</v>
      </c>
      <c r="I141" s="13" t="e">
        <f>TEAMGROWTH!#REF!</f>
        <v>#REF!</v>
      </c>
      <c r="J141" s="13" t="e">
        <f>TEAMGROWTH!#REF!</f>
        <v>#REF!</v>
      </c>
      <c r="K141" s="13" t="e">
        <f>TEAMGROWTH!#REF!</f>
        <v>#REF!</v>
      </c>
      <c r="L141" s="13" t="e">
        <f>TEAMGROWTH!#REF!</f>
        <v>#REF!</v>
      </c>
      <c r="M141" s="13" t="e">
        <f>TEAMGROWTH!#REF!</f>
        <v>#REF!</v>
      </c>
    </row>
    <row r="142" spans="1:13" ht="15.75" customHeight="1">
      <c r="A142" s="13" t="e">
        <f>TEAMGROWTH!#REF!</f>
        <v>#REF!</v>
      </c>
      <c r="B142" s="13" t="e">
        <f>TEAMGROWTH!#REF!</f>
        <v>#REF!</v>
      </c>
      <c r="C142" s="13" t="e">
        <f>TEAMGROWTH!#REF!</f>
        <v>#REF!</v>
      </c>
      <c r="D142" s="13" t="e">
        <f>TEAMGROWTH!#REF!</f>
        <v>#REF!</v>
      </c>
      <c r="E142" s="13" t="e">
        <f>TEAMGROWTH!#REF!</f>
        <v>#REF!</v>
      </c>
      <c r="F142" s="13" t="e">
        <f>TEAMGROWTH!#REF!</f>
        <v>#REF!</v>
      </c>
      <c r="G142" s="13" t="e">
        <f>TEAMGROWTH!#REF!</f>
        <v>#REF!</v>
      </c>
      <c r="H142" s="13" t="e">
        <f>TEAMGROWTH!#REF!</f>
        <v>#REF!</v>
      </c>
      <c r="I142" s="13" t="e">
        <f>TEAMGROWTH!#REF!</f>
        <v>#REF!</v>
      </c>
      <c r="J142" s="13" t="e">
        <f>TEAMGROWTH!#REF!</f>
        <v>#REF!</v>
      </c>
      <c r="K142" s="13" t="e">
        <f>TEAMGROWTH!#REF!</f>
        <v>#REF!</v>
      </c>
      <c r="L142" s="13" t="e">
        <f>TEAMGROWTH!#REF!</f>
        <v>#REF!</v>
      </c>
      <c r="M142" s="13" t="e">
        <f>TEAMGROWTH!#REF!</f>
        <v>#REF!</v>
      </c>
    </row>
    <row r="143" spans="1:13" ht="15.75" customHeight="1">
      <c r="A143" s="13" t="e">
        <f>TEAMGROWTH!#REF!</f>
        <v>#REF!</v>
      </c>
      <c r="B143" s="13" t="e">
        <f>TEAMGROWTH!#REF!</f>
        <v>#REF!</v>
      </c>
      <c r="C143" s="13" t="e">
        <f>TEAMGROWTH!#REF!</f>
        <v>#REF!</v>
      </c>
      <c r="D143" s="13" t="e">
        <f>TEAMGROWTH!#REF!</f>
        <v>#REF!</v>
      </c>
      <c r="E143" s="13" t="e">
        <f>TEAMGROWTH!#REF!</f>
        <v>#REF!</v>
      </c>
      <c r="F143" s="13" t="e">
        <f>TEAMGROWTH!#REF!</f>
        <v>#REF!</v>
      </c>
      <c r="G143" s="13" t="e">
        <f>TEAMGROWTH!#REF!</f>
        <v>#REF!</v>
      </c>
      <c r="H143" s="13" t="e">
        <f>TEAMGROWTH!#REF!</f>
        <v>#REF!</v>
      </c>
      <c r="I143" s="13" t="e">
        <f>TEAMGROWTH!#REF!</f>
        <v>#REF!</v>
      </c>
      <c r="J143" s="13" t="e">
        <f>TEAMGROWTH!#REF!</f>
        <v>#REF!</v>
      </c>
      <c r="K143" s="13" t="e">
        <f>TEAMGROWTH!#REF!</f>
        <v>#REF!</v>
      </c>
      <c r="L143" s="13" t="e">
        <f>TEAMGROWTH!#REF!</f>
        <v>#REF!</v>
      </c>
      <c r="M143" s="13" t="e">
        <f>TEAMGROWTH!#REF!</f>
        <v>#REF!</v>
      </c>
    </row>
    <row r="144" spans="1:13" ht="15.75" customHeight="1">
      <c r="A144" s="13" t="e">
        <f>TEAMGROWTH!#REF!</f>
        <v>#REF!</v>
      </c>
      <c r="B144" s="13" t="e">
        <f>TEAMGROWTH!#REF!</f>
        <v>#REF!</v>
      </c>
      <c r="C144" s="13" t="e">
        <f>TEAMGROWTH!#REF!</f>
        <v>#REF!</v>
      </c>
      <c r="D144" s="13" t="e">
        <f>TEAMGROWTH!#REF!</f>
        <v>#REF!</v>
      </c>
      <c r="E144" s="13" t="e">
        <f>TEAMGROWTH!#REF!</f>
        <v>#REF!</v>
      </c>
      <c r="F144" s="13" t="e">
        <f>TEAMGROWTH!#REF!</f>
        <v>#REF!</v>
      </c>
      <c r="G144" s="13" t="e">
        <f>TEAMGROWTH!#REF!</f>
        <v>#REF!</v>
      </c>
      <c r="H144" s="13" t="e">
        <f>TEAMGROWTH!#REF!</f>
        <v>#REF!</v>
      </c>
      <c r="I144" s="13" t="e">
        <f>TEAMGROWTH!#REF!</f>
        <v>#REF!</v>
      </c>
      <c r="J144" s="13" t="e">
        <f>TEAMGROWTH!#REF!</f>
        <v>#REF!</v>
      </c>
      <c r="K144" s="13" t="e">
        <f>TEAMGROWTH!#REF!</f>
        <v>#REF!</v>
      </c>
      <c r="L144" s="13" t="e">
        <f>TEAMGROWTH!#REF!</f>
        <v>#REF!</v>
      </c>
      <c r="M144" s="13" t="e">
        <f>TEAMGROWTH!#REF!</f>
        <v>#REF!</v>
      </c>
    </row>
    <row r="145" spans="1:38" ht="15.75" customHeight="1">
      <c r="A145" s="13" t="e">
        <f>TEAMGROWTH!#REF!</f>
        <v>#REF!</v>
      </c>
      <c r="B145" s="13" t="e">
        <f>TEAMGROWTH!#REF!</f>
        <v>#REF!</v>
      </c>
      <c r="C145" s="13" t="e">
        <f>TEAMGROWTH!#REF!</f>
        <v>#REF!</v>
      </c>
      <c r="D145" s="13" t="e">
        <f>TEAMGROWTH!#REF!</f>
        <v>#REF!</v>
      </c>
      <c r="E145" s="13" t="e">
        <f>TEAMGROWTH!#REF!</f>
        <v>#REF!</v>
      </c>
      <c r="F145" s="13" t="e">
        <f>TEAMGROWTH!#REF!</f>
        <v>#REF!</v>
      </c>
      <c r="G145" s="13" t="e">
        <f>TEAMGROWTH!#REF!</f>
        <v>#REF!</v>
      </c>
      <c r="H145" s="13" t="e">
        <f>TEAMGROWTH!#REF!</f>
        <v>#REF!</v>
      </c>
      <c r="I145" s="13" t="e">
        <f>TEAMGROWTH!#REF!</f>
        <v>#REF!</v>
      </c>
      <c r="J145" s="13" t="e">
        <f>TEAMGROWTH!#REF!</f>
        <v>#REF!</v>
      </c>
      <c r="K145" s="13" t="e">
        <f>TEAMGROWTH!#REF!</f>
        <v>#REF!</v>
      </c>
      <c r="L145" s="13" t="e">
        <f>TEAMGROWTH!#REF!</f>
        <v>#REF!</v>
      </c>
      <c r="M145" s="13" t="e">
        <f>TEAMGROWTH!#REF!</f>
        <v>#REF!</v>
      </c>
    </row>
    <row r="146" spans="1:38" ht="15.75" customHeight="1">
      <c r="A146" s="13" t="e">
        <f>TEAMGROWTH!#REF!</f>
        <v>#REF!</v>
      </c>
      <c r="B146" s="13" t="e">
        <f>TEAMGROWTH!#REF!</f>
        <v>#REF!</v>
      </c>
      <c r="C146" s="13" t="e">
        <f>TEAMGROWTH!#REF!</f>
        <v>#REF!</v>
      </c>
      <c r="D146" s="13" t="e">
        <f>TEAMGROWTH!#REF!</f>
        <v>#REF!</v>
      </c>
      <c r="E146" s="13" t="e">
        <f>TEAMGROWTH!#REF!</f>
        <v>#REF!</v>
      </c>
      <c r="F146" s="13" t="e">
        <f>TEAMGROWTH!#REF!</f>
        <v>#REF!</v>
      </c>
      <c r="G146" s="13" t="e">
        <f>TEAMGROWTH!#REF!</f>
        <v>#REF!</v>
      </c>
      <c r="H146" s="13" t="e">
        <f>TEAMGROWTH!#REF!</f>
        <v>#REF!</v>
      </c>
      <c r="I146" s="13" t="e">
        <f>TEAMGROWTH!#REF!</f>
        <v>#REF!</v>
      </c>
      <c r="J146" s="13" t="e">
        <f>TEAMGROWTH!#REF!</f>
        <v>#REF!</v>
      </c>
      <c r="K146" s="13" t="e">
        <f>TEAMGROWTH!#REF!</f>
        <v>#REF!</v>
      </c>
      <c r="L146" s="13" t="e">
        <f>TEAMGROWTH!#REF!</f>
        <v>#REF!</v>
      </c>
      <c r="M146" s="13" t="e">
        <f>TEAMGROWTH!#REF!</f>
        <v>#REF!</v>
      </c>
    </row>
    <row r="147" spans="1:38" ht="15.75" customHeight="1">
      <c r="A147" s="13" t="e">
        <f>TEAMGROWTH!#REF!</f>
        <v>#REF!</v>
      </c>
      <c r="B147" s="13" t="e">
        <f>TEAMGROWTH!#REF!</f>
        <v>#REF!</v>
      </c>
      <c r="C147" s="13" t="e">
        <f>TEAMGROWTH!#REF!</f>
        <v>#REF!</v>
      </c>
      <c r="D147" s="13" t="e">
        <f>TEAMGROWTH!#REF!</f>
        <v>#REF!</v>
      </c>
      <c r="E147" s="13" t="e">
        <f>TEAMGROWTH!#REF!</f>
        <v>#REF!</v>
      </c>
      <c r="F147" s="13" t="e">
        <f>TEAMGROWTH!#REF!</f>
        <v>#REF!</v>
      </c>
      <c r="G147" s="13" t="e">
        <f>TEAMGROWTH!#REF!</f>
        <v>#REF!</v>
      </c>
      <c r="H147" s="13" t="e">
        <f>TEAMGROWTH!#REF!</f>
        <v>#REF!</v>
      </c>
      <c r="I147" s="13" t="e">
        <f>TEAMGROWTH!#REF!</f>
        <v>#REF!</v>
      </c>
      <c r="J147" s="13" t="e">
        <f>TEAMGROWTH!#REF!</f>
        <v>#REF!</v>
      </c>
      <c r="K147" s="13" t="e">
        <f>TEAMGROWTH!#REF!</f>
        <v>#REF!</v>
      </c>
      <c r="L147" s="13" t="e">
        <f>TEAMGROWTH!#REF!</f>
        <v>#REF!</v>
      </c>
      <c r="M147" s="13" t="e">
        <f>TEAMGROWTH!#REF!</f>
        <v>#REF!</v>
      </c>
    </row>
    <row r="148" spans="1:38" ht="15.75" customHeight="1">
      <c r="A148" s="13" t="e">
        <f>TEAMGROWTH!#REF!</f>
        <v>#REF!</v>
      </c>
      <c r="B148" s="13" t="e">
        <f>TEAMGROWTH!#REF!</f>
        <v>#REF!</v>
      </c>
      <c r="C148" s="13" t="e">
        <f>TEAMGROWTH!#REF!</f>
        <v>#REF!</v>
      </c>
      <c r="D148" s="13" t="e">
        <f>TEAMGROWTH!#REF!</f>
        <v>#REF!</v>
      </c>
      <c r="E148" s="13" t="e">
        <f>TEAMGROWTH!#REF!</f>
        <v>#REF!</v>
      </c>
      <c r="F148" s="13" t="e">
        <f>TEAMGROWTH!#REF!</f>
        <v>#REF!</v>
      </c>
      <c r="G148" s="13" t="e">
        <f>TEAMGROWTH!#REF!</f>
        <v>#REF!</v>
      </c>
      <c r="H148" s="13" t="e">
        <f>TEAMGROWTH!#REF!</f>
        <v>#REF!</v>
      </c>
      <c r="I148" s="13" t="e">
        <f>TEAMGROWTH!#REF!</f>
        <v>#REF!</v>
      </c>
      <c r="J148" s="13" t="e">
        <f>TEAMGROWTH!#REF!</f>
        <v>#REF!</v>
      </c>
      <c r="K148" s="13" t="e">
        <f>TEAMGROWTH!#REF!</f>
        <v>#REF!</v>
      </c>
      <c r="L148" s="13" t="e">
        <f>TEAMGROWTH!#REF!</f>
        <v>#REF!</v>
      </c>
      <c r="M148" s="13" t="e">
        <f>TEAMGROWTH!#REF!</f>
        <v>#REF!</v>
      </c>
    </row>
    <row r="149" spans="1:38" ht="15.75" customHeight="1">
      <c r="A149" s="13" t="e">
        <f>TEAMGROWTH!#REF!</f>
        <v>#REF!</v>
      </c>
      <c r="B149" s="13" t="e">
        <f>TEAMGROWTH!#REF!</f>
        <v>#REF!</v>
      </c>
      <c r="C149" s="13" t="e">
        <f>TEAMGROWTH!#REF!</f>
        <v>#REF!</v>
      </c>
      <c r="D149" s="13" t="e">
        <f>TEAMGROWTH!#REF!</f>
        <v>#REF!</v>
      </c>
      <c r="E149" s="13" t="e">
        <f>TEAMGROWTH!#REF!</f>
        <v>#REF!</v>
      </c>
      <c r="F149" s="13" t="e">
        <f>TEAMGROWTH!#REF!</f>
        <v>#REF!</v>
      </c>
      <c r="G149" s="13" t="e">
        <f>TEAMGROWTH!#REF!</f>
        <v>#REF!</v>
      </c>
      <c r="H149" s="13" t="e">
        <f>TEAMGROWTH!#REF!</f>
        <v>#REF!</v>
      </c>
      <c r="I149" s="13" t="e">
        <f>TEAMGROWTH!#REF!</f>
        <v>#REF!</v>
      </c>
      <c r="J149" s="13" t="e">
        <f>TEAMGROWTH!#REF!</f>
        <v>#REF!</v>
      </c>
      <c r="K149" s="13" t="e">
        <f>TEAMGROWTH!#REF!</f>
        <v>#REF!</v>
      </c>
      <c r="L149" s="13" t="e">
        <f>TEAMGROWTH!#REF!</f>
        <v>#REF!</v>
      </c>
      <c r="M149" s="13" t="e">
        <f>TEAMGROWTH!#REF!</f>
        <v>#REF!</v>
      </c>
    </row>
    <row r="150" spans="1:38" ht="15.75" customHeight="1">
      <c r="A150" s="13" t="e">
        <f>TEAMGROWTH!#REF!</f>
        <v>#REF!</v>
      </c>
      <c r="B150" s="13" t="e">
        <f>TEAMGROWTH!#REF!</f>
        <v>#REF!</v>
      </c>
      <c r="C150" s="13" t="e">
        <f>TEAMGROWTH!#REF!</f>
        <v>#REF!</v>
      </c>
      <c r="D150" s="13" t="e">
        <f>TEAMGROWTH!#REF!</f>
        <v>#REF!</v>
      </c>
      <c r="E150" s="13" t="e">
        <f>TEAMGROWTH!#REF!</f>
        <v>#REF!</v>
      </c>
      <c r="F150" s="13" t="e">
        <f>TEAMGROWTH!#REF!</f>
        <v>#REF!</v>
      </c>
      <c r="G150" s="13" t="e">
        <f>TEAMGROWTH!#REF!</f>
        <v>#REF!</v>
      </c>
      <c r="H150" s="13" t="e">
        <f>TEAMGROWTH!#REF!</f>
        <v>#REF!</v>
      </c>
      <c r="I150" s="13" t="e">
        <f>TEAMGROWTH!#REF!</f>
        <v>#REF!</v>
      </c>
      <c r="J150" s="13" t="e">
        <f>TEAMGROWTH!#REF!</f>
        <v>#REF!</v>
      </c>
      <c r="K150" s="13" t="e">
        <f>TEAMGROWTH!#REF!</f>
        <v>#REF!</v>
      </c>
      <c r="L150" s="13" t="e">
        <f>TEAMGROWTH!#REF!</f>
        <v>#REF!</v>
      </c>
      <c r="M150" s="13" t="e">
        <f>TEAMGROWTH!#REF!</f>
        <v>#REF!</v>
      </c>
    </row>
    <row r="151" spans="1:38" ht="15.75" customHeight="1">
      <c r="A151" s="13" t="e">
        <f>TEAMGROWTH!#REF!</f>
        <v>#REF!</v>
      </c>
      <c r="B151" s="13" t="e">
        <f>TEAMGROWTH!#REF!</f>
        <v>#REF!</v>
      </c>
      <c r="C151" s="13" t="e">
        <f>TEAMGROWTH!#REF!</f>
        <v>#REF!</v>
      </c>
      <c r="D151" s="13" t="e">
        <f>TEAMGROWTH!#REF!</f>
        <v>#REF!</v>
      </c>
      <c r="E151" s="13" t="e">
        <f>TEAMGROWTH!#REF!</f>
        <v>#REF!</v>
      </c>
      <c r="F151" s="13" t="e">
        <f>TEAMGROWTH!#REF!</f>
        <v>#REF!</v>
      </c>
      <c r="G151" s="13" t="e">
        <f>TEAMGROWTH!#REF!</f>
        <v>#REF!</v>
      </c>
      <c r="H151" s="13" t="e">
        <f>TEAMGROWTH!#REF!</f>
        <v>#REF!</v>
      </c>
      <c r="I151" s="13" t="e">
        <f>TEAMGROWTH!#REF!</f>
        <v>#REF!</v>
      </c>
      <c r="J151" s="13" t="e">
        <f>TEAMGROWTH!#REF!</f>
        <v>#REF!</v>
      </c>
      <c r="K151" s="13" t="e">
        <f>TEAMGROWTH!#REF!</f>
        <v>#REF!</v>
      </c>
      <c r="L151" s="13" t="e">
        <f>TEAMGROWTH!#REF!</f>
        <v>#REF!</v>
      </c>
      <c r="M151" s="13" t="e">
        <f>TEAMGROWTH!#REF!</f>
        <v>#REF!</v>
      </c>
    </row>
    <row r="152" spans="1:38" ht="15.75" customHeight="1">
      <c r="A152" s="13" t="e">
        <f>TEAMGROWTH!#REF!</f>
        <v>#REF!</v>
      </c>
      <c r="B152" s="13" t="e">
        <f>TEAMGROWTH!#REF!</f>
        <v>#REF!</v>
      </c>
      <c r="C152" s="13" t="e">
        <f>TEAMGROWTH!#REF!</f>
        <v>#REF!</v>
      </c>
      <c r="D152" s="13" t="e">
        <f>TEAMGROWTH!#REF!</f>
        <v>#REF!</v>
      </c>
      <c r="E152" s="13" t="e">
        <f>TEAMGROWTH!#REF!</f>
        <v>#REF!</v>
      </c>
      <c r="F152" s="13" t="e">
        <f>TEAMGROWTH!#REF!</f>
        <v>#REF!</v>
      </c>
      <c r="G152" s="13" t="e">
        <f>TEAMGROWTH!#REF!</f>
        <v>#REF!</v>
      </c>
      <c r="H152" s="13" t="e">
        <f>TEAMGROWTH!#REF!</f>
        <v>#REF!</v>
      </c>
      <c r="I152" s="13" t="e">
        <f>TEAMGROWTH!#REF!</f>
        <v>#REF!</v>
      </c>
      <c r="J152" s="13" t="e">
        <f>TEAMGROWTH!#REF!</f>
        <v>#REF!</v>
      </c>
      <c r="K152" s="13" t="e">
        <f>TEAMGROWTH!#REF!</f>
        <v>#REF!</v>
      </c>
      <c r="L152" s="13" t="e">
        <f>TEAMGROWTH!#REF!</f>
        <v>#REF!</v>
      </c>
      <c r="M152" s="13" t="e">
        <f>TEAMGROWTH!#REF!</f>
        <v>#REF!</v>
      </c>
    </row>
    <row r="153" spans="1:38" ht="15.75" customHeight="1"/>
    <row r="154" spans="1:38" ht="15.75" customHeight="1">
      <c r="A154" s="13" t="s">
        <v>36</v>
      </c>
    </row>
    <row r="155" spans="1:38" ht="15.75" customHeight="1">
      <c r="B155" s="13" t="str">
        <f>'2023 Forecast Totals'!D$3</f>
        <v>Jan</v>
      </c>
      <c r="C155" s="13" t="str">
        <f>'2023 Forecast Totals'!E$3</f>
        <v>Feb</v>
      </c>
      <c r="D155" s="13" t="str">
        <f>'2023 Forecast Totals'!F$3</f>
        <v>Mar</v>
      </c>
      <c r="E155" s="13" t="str">
        <f>'2023 Forecast Totals'!G$3</f>
        <v>Apr</v>
      </c>
      <c r="F155" s="13" t="str">
        <f>'2023 Forecast Totals'!H$3</f>
        <v>May</v>
      </c>
      <c r="G155" s="13" t="str">
        <f>'2023 Forecast Totals'!I$3</f>
        <v>Jun</v>
      </c>
      <c r="H155" s="13" t="str">
        <f>'2023 Forecast Totals'!J$3</f>
        <v>Jul</v>
      </c>
      <c r="I155" s="13" t="str">
        <f>'2023 Forecast Totals'!K$3</f>
        <v>Aug</v>
      </c>
      <c r="J155" s="13" t="str">
        <f>'2023 Forecast Totals'!L$3</f>
        <v>Sep</v>
      </c>
      <c r="K155" s="13" t="str">
        <f>'2023 Forecast Totals'!M$3</f>
        <v>Oct</v>
      </c>
      <c r="L155" s="13" t="str">
        <f>'2023 Forecast Totals'!N$3</f>
        <v>Nov</v>
      </c>
      <c r="M155" s="13" t="str">
        <f>'2023 Forecast Totals'!O$3</f>
        <v>Dec</v>
      </c>
      <c r="N155" s="13" t="str">
        <f>'2023 Forecast Totals'!Q$3</f>
        <v>Jan</v>
      </c>
      <c r="O155" s="13" t="str">
        <f>'2023 Forecast Totals'!R$3</f>
        <v>Feb</v>
      </c>
      <c r="P155" s="13" t="str">
        <f>'2023 Forecast Totals'!S$3</f>
        <v>Mar</v>
      </c>
      <c r="Q155" s="13" t="str">
        <f>'2023 Forecast Totals'!T$3</f>
        <v>Apr</v>
      </c>
      <c r="R155" s="13" t="str">
        <f>'2023 Forecast Totals'!U$3</f>
        <v>May</v>
      </c>
      <c r="S155" s="13" t="str">
        <f>'2023 Forecast Totals'!V$3</f>
        <v>Jun</v>
      </c>
      <c r="T155" s="13" t="str">
        <f>'2023 Forecast Totals'!W$3</f>
        <v>Jul</v>
      </c>
      <c r="U155" s="13" t="str">
        <f>'2023 Forecast Totals'!X$3</f>
        <v>Aug</v>
      </c>
      <c r="V155" s="13" t="str">
        <f>'2023 Forecast Totals'!Y$3</f>
        <v>Sep</v>
      </c>
      <c r="W155" s="13" t="str">
        <f>'2023 Forecast Totals'!Z$3</f>
        <v>Oct</v>
      </c>
      <c r="X155" s="13" t="str">
        <f>'2023 Forecast Totals'!AA$3</f>
        <v>Nov</v>
      </c>
      <c r="Y155" s="13" t="s">
        <v>15</v>
      </c>
      <c r="Z155" s="13" t="str">
        <f>'2023 Forecast Totals'!AD$3</f>
        <v>Jan</v>
      </c>
      <c r="AA155" s="13" t="str">
        <f>'2023 Forecast Totals'!AE$3</f>
        <v>Feb</v>
      </c>
      <c r="AB155" s="13" t="str">
        <f>'2023 Forecast Totals'!AF$3</f>
        <v>Mar</v>
      </c>
      <c r="AC155" s="13" t="str">
        <f>'2023 Forecast Totals'!AG$3</f>
        <v>Apr</v>
      </c>
      <c r="AD155" s="13" t="str">
        <f>'2023 Forecast Totals'!AH$3</f>
        <v>May</v>
      </c>
      <c r="AE155" s="13" t="str">
        <f>'2023 Forecast Totals'!AI$3</f>
        <v>Jun</v>
      </c>
      <c r="AF155" s="13" t="str">
        <f>'2023 Forecast Totals'!AJ$3</f>
        <v>Jul</v>
      </c>
      <c r="AG155" s="13" t="str">
        <f>'2023 Forecast Totals'!AK$3</f>
        <v>Aug</v>
      </c>
      <c r="AH155" s="13" t="str">
        <f>'2023 Forecast Totals'!AL$3</f>
        <v>Sep</v>
      </c>
      <c r="AI155" s="13" t="str">
        <f>'2023 Forecast Totals'!AM$3</f>
        <v>Oct</v>
      </c>
      <c r="AJ155" s="13" t="str">
        <f>'2023 Forecast Totals'!AN$3</f>
        <v>Nov</v>
      </c>
      <c r="AK155" s="13" t="str">
        <f>'2023 Forecast Totals'!AO$3</f>
        <v>Dec</v>
      </c>
    </row>
    <row r="156" spans="1:38" ht="15.75" customHeight="1">
      <c r="A156" s="13" t="str">
        <f>'2023 Forecast Totals'!A43</f>
        <v>Effective Techs</v>
      </c>
      <c r="B156" s="98">
        <f>'2023 Forecast Totals'!D43</f>
        <v>20.8</v>
      </c>
      <c r="C156" s="98">
        <f>'2023 Forecast Totals'!E43</f>
        <v>20.8</v>
      </c>
      <c r="D156" s="98">
        <f>'2023 Forecast Totals'!F43</f>
        <v>20.8</v>
      </c>
      <c r="E156" s="98">
        <f>'2023 Forecast Totals'!G43</f>
        <v>20.8</v>
      </c>
      <c r="F156" s="98">
        <f>'2023 Forecast Totals'!H43</f>
        <v>20.8</v>
      </c>
      <c r="G156" s="98">
        <f>'2023 Forecast Totals'!I43</f>
        <v>20.8</v>
      </c>
      <c r="H156" s="98">
        <f>'2023 Forecast Totals'!J43</f>
        <v>20.8</v>
      </c>
      <c r="I156" s="98">
        <f>'2023 Forecast Totals'!K43</f>
        <v>20.8</v>
      </c>
      <c r="J156" s="98">
        <f>'2023 Forecast Totals'!L43</f>
        <v>20.8</v>
      </c>
      <c r="K156" s="98">
        <f>'2023 Forecast Totals'!M43</f>
        <v>20.8</v>
      </c>
      <c r="L156" s="98">
        <f>'2023 Forecast Totals'!N43</f>
        <v>20.8</v>
      </c>
      <c r="M156" s="98">
        <f>'2023 Forecast Totals'!O43</f>
        <v>20.8</v>
      </c>
      <c r="N156" s="98">
        <f>'2023 Forecast Totals'!Q43</f>
        <v>24</v>
      </c>
      <c r="O156" s="98">
        <f>'2023 Forecast Totals'!R43</f>
        <v>28.8</v>
      </c>
      <c r="P156" s="98">
        <f>'2023 Forecast Totals'!S43</f>
        <v>28.8</v>
      </c>
      <c r="Q156" s="98">
        <f>'2023 Forecast Totals'!T43</f>
        <v>28.8</v>
      </c>
      <c r="R156" s="98">
        <f>'2023 Forecast Totals'!U43</f>
        <v>28.8</v>
      </c>
      <c r="S156" s="98">
        <f>'2023 Forecast Totals'!V43</f>
        <v>28.8</v>
      </c>
      <c r="T156" s="98">
        <f>'2023 Forecast Totals'!W43</f>
        <v>28.8</v>
      </c>
      <c r="U156" s="98">
        <f>'2023 Forecast Totals'!X43</f>
        <v>24</v>
      </c>
      <c r="V156" s="98">
        <f>'2023 Forecast Totals'!Y43</f>
        <v>24</v>
      </c>
      <c r="W156" s="98">
        <f>'2023 Forecast Totals'!Z43</f>
        <v>24</v>
      </c>
      <c r="X156" s="98">
        <f>'2023 Forecast Totals'!AA43</f>
        <v>24</v>
      </c>
      <c r="Y156" s="98">
        <f>'2023 Forecast Totals'!AB43</f>
        <v>24</v>
      </c>
      <c r="Z156" s="98">
        <f>'2023 Forecast Totals'!AD43</f>
        <v>24</v>
      </c>
      <c r="AA156" s="98">
        <f>'2023 Forecast Totals'!AE43</f>
        <v>24</v>
      </c>
      <c r="AB156" s="98">
        <f>'2023 Forecast Totals'!AF43</f>
        <v>24</v>
      </c>
      <c r="AC156" s="98">
        <f>'2023 Forecast Totals'!AG43</f>
        <v>24</v>
      </c>
      <c r="AD156" s="98">
        <f>'2023 Forecast Totals'!AH43</f>
        <v>24</v>
      </c>
      <c r="AE156" s="98">
        <f>'2023 Forecast Totals'!AI43</f>
        <v>24</v>
      </c>
      <c r="AF156" s="98">
        <f>'2023 Forecast Totals'!AJ43</f>
        <v>24</v>
      </c>
      <c r="AG156" s="98">
        <f>'2023 Forecast Totals'!AK43</f>
        <v>24</v>
      </c>
      <c r="AH156" s="98">
        <f>'2023 Forecast Totals'!AL43</f>
        <v>24</v>
      </c>
      <c r="AI156" s="98">
        <f>'2023 Forecast Totals'!AM43</f>
        <v>24</v>
      </c>
      <c r="AJ156" s="98">
        <f>'2023 Forecast Totals'!AN43</f>
        <v>24</v>
      </c>
      <c r="AK156" s="98">
        <f>'2023 Forecast Totals'!AO43</f>
        <v>24</v>
      </c>
      <c r="AL156" s="98"/>
    </row>
    <row r="157" spans="1:38" ht="15.75" customHeight="1">
      <c r="A157" s="13" t="str">
        <f>'Man Hours &amp; Costs'!A4</f>
        <v>BDU Actual Techs</v>
      </c>
      <c r="B157" s="99">
        <f>'Man Hours &amp; Costs'!C4</f>
        <v>26</v>
      </c>
      <c r="C157" s="99">
        <f>'Man Hours &amp; Costs'!D4</f>
        <v>26</v>
      </c>
      <c r="D157" s="99">
        <f>'Man Hours &amp; Costs'!E4</f>
        <v>26</v>
      </c>
      <c r="E157" s="99">
        <f>'Man Hours &amp; Costs'!F4</f>
        <v>26</v>
      </c>
      <c r="F157" s="99">
        <f>'Man Hours &amp; Costs'!G4</f>
        <v>26</v>
      </c>
      <c r="G157" s="99">
        <f>'Man Hours &amp; Costs'!H4</f>
        <v>26</v>
      </c>
      <c r="H157" s="99">
        <f>'Man Hours &amp; Costs'!I4</f>
        <v>26</v>
      </c>
      <c r="I157" s="99">
        <f>'Man Hours &amp; Costs'!J4</f>
        <v>26</v>
      </c>
      <c r="J157" s="99">
        <f>'Man Hours &amp; Costs'!K4</f>
        <v>26</v>
      </c>
      <c r="K157" s="99">
        <f>'Man Hours &amp; Costs'!L4</f>
        <v>26</v>
      </c>
      <c r="L157" s="99">
        <f>'Man Hours &amp; Costs'!M4</f>
        <v>26</v>
      </c>
      <c r="M157" s="99">
        <f>'Man Hours &amp; Costs'!N4</f>
        <v>26</v>
      </c>
      <c r="N157" s="99">
        <f>'Man Hours &amp; Costs'!P4</f>
        <v>30</v>
      </c>
      <c r="O157" s="99">
        <f>'Man Hours &amp; Costs'!Q4</f>
        <v>36</v>
      </c>
      <c r="P157" s="99">
        <f>'Man Hours &amp; Costs'!R4</f>
        <v>36</v>
      </c>
      <c r="Q157" s="99">
        <f>'Man Hours &amp; Costs'!S4</f>
        <v>36</v>
      </c>
      <c r="R157" s="99">
        <f>'Man Hours &amp; Costs'!T4</f>
        <v>36</v>
      </c>
      <c r="S157" s="99">
        <f>'Man Hours &amp; Costs'!U4</f>
        <v>36</v>
      </c>
      <c r="T157" s="99">
        <f>'Man Hours &amp; Costs'!V4</f>
        <v>36</v>
      </c>
      <c r="U157" s="99">
        <f>'Man Hours &amp; Costs'!W4</f>
        <v>30</v>
      </c>
      <c r="V157" s="99">
        <f>'Man Hours &amp; Costs'!X4</f>
        <v>30</v>
      </c>
      <c r="W157" s="99">
        <f>'Man Hours &amp; Costs'!Y4</f>
        <v>30</v>
      </c>
      <c r="X157" s="99">
        <f>'Man Hours &amp; Costs'!Z4</f>
        <v>30</v>
      </c>
      <c r="Y157" s="99">
        <f>'Man Hours &amp; Costs'!AA4</f>
        <v>30</v>
      </c>
      <c r="Z157" s="99">
        <f>'Man Hours &amp; Costs'!AC4</f>
        <v>30</v>
      </c>
      <c r="AA157" s="99">
        <f>'Man Hours &amp; Costs'!AD4</f>
        <v>30</v>
      </c>
      <c r="AB157" s="99">
        <f>'Man Hours &amp; Costs'!AE4</f>
        <v>30</v>
      </c>
      <c r="AC157" s="99">
        <f>'Man Hours &amp; Costs'!AF4</f>
        <v>30</v>
      </c>
      <c r="AD157" s="99">
        <f>'Man Hours &amp; Costs'!AG4</f>
        <v>30</v>
      </c>
      <c r="AE157" s="99">
        <f>'Man Hours &amp; Costs'!AH4</f>
        <v>30</v>
      </c>
      <c r="AF157" s="99">
        <f>'Man Hours &amp; Costs'!AI4</f>
        <v>30</v>
      </c>
      <c r="AG157" s="99">
        <f>'Man Hours &amp; Costs'!AJ4</f>
        <v>30</v>
      </c>
      <c r="AH157" s="99">
        <f>'Man Hours &amp; Costs'!AK4</f>
        <v>30</v>
      </c>
      <c r="AI157" s="99">
        <f>'Man Hours &amp; Costs'!AL4</f>
        <v>30</v>
      </c>
      <c r="AJ157" s="99">
        <f>'Man Hours &amp; Costs'!AM4</f>
        <v>30</v>
      </c>
      <c r="AK157" s="99">
        <f>'Man Hours &amp; Costs'!AN4</f>
        <v>30</v>
      </c>
    </row>
    <row r="158" spans="1:38" ht="15.75" customHeight="1"/>
    <row r="159" spans="1:38" ht="15.75" customHeight="1">
      <c r="A159" s="13" t="s">
        <v>57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</row>
    <row r="160" spans="1:38" ht="15.75" customHeight="1">
      <c r="B160" s="13" t="str">
        <f>'2023 Forecast Totals'!D$3</f>
        <v>Jan</v>
      </c>
      <c r="C160" s="13" t="str">
        <f>'2023 Forecast Totals'!E$3</f>
        <v>Feb</v>
      </c>
      <c r="D160" s="13" t="str">
        <f>'2023 Forecast Totals'!F$3</f>
        <v>Mar</v>
      </c>
      <c r="E160" s="13" t="str">
        <f>'2023 Forecast Totals'!G$3</f>
        <v>Apr</v>
      </c>
      <c r="F160" s="13" t="str">
        <f>'2023 Forecast Totals'!H$3</f>
        <v>May</v>
      </c>
      <c r="G160" s="13" t="str">
        <f>'2023 Forecast Totals'!I$3</f>
        <v>Jun</v>
      </c>
      <c r="H160" s="13" t="str">
        <f>'2023 Forecast Totals'!J$3</f>
        <v>Jul</v>
      </c>
      <c r="I160" s="13" t="str">
        <f>'2023 Forecast Totals'!K$3</f>
        <v>Aug</v>
      </c>
      <c r="J160" s="13" t="str">
        <f>'2023 Forecast Totals'!L$3</f>
        <v>Sep</v>
      </c>
      <c r="K160" s="13" t="str">
        <f>'2023 Forecast Totals'!M$3</f>
        <v>Oct</v>
      </c>
      <c r="L160" s="13" t="str">
        <f>'2023 Forecast Totals'!N$3</f>
        <v>Nov</v>
      </c>
      <c r="M160" s="13" t="str">
        <f>'2023 Forecast Totals'!O$3</f>
        <v>Dec</v>
      </c>
      <c r="N160" s="13" t="str">
        <f>'2023 Forecast Totals'!Q$3</f>
        <v>Jan</v>
      </c>
      <c r="O160" s="13" t="str">
        <f>'2023 Forecast Totals'!R$3</f>
        <v>Feb</v>
      </c>
      <c r="P160" s="13" t="str">
        <f>'2023 Forecast Totals'!S$3</f>
        <v>Mar</v>
      </c>
      <c r="Q160" s="13" t="str">
        <f>'2023 Forecast Totals'!T$3</f>
        <v>Apr</v>
      </c>
      <c r="R160" s="13" t="str">
        <f>'2023 Forecast Totals'!U$3</f>
        <v>May</v>
      </c>
      <c r="S160" s="13" t="str">
        <f>'2023 Forecast Totals'!V$3</f>
        <v>Jun</v>
      </c>
      <c r="T160" s="13" t="str">
        <f>'2023 Forecast Totals'!W$3</f>
        <v>Jul</v>
      </c>
      <c r="U160" s="13" t="str">
        <f>'2023 Forecast Totals'!X$3</f>
        <v>Aug</v>
      </c>
      <c r="V160" s="13" t="str">
        <f>'2023 Forecast Totals'!Y$3</f>
        <v>Sep</v>
      </c>
      <c r="W160" s="13" t="str">
        <f>'2023 Forecast Totals'!Z$3</f>
        <v>Oct</v>
      </c>
      <c r="X160" s="13" t="str">
        <f>'2023 Forecast Totals'!AA$3</f>
        <v>Nov</v>
      </c>
      <c r="Y160" s="13" t="s">
        <v>15</v>
      </c>
      <c r="Z160" s="13" t="str">
        <f>'2023 Forecast Totals'!AD$3</f>
        <v>Jan</v>
      </c>
      <c r="AA160" s="13" t="str">
        <f>'2023 Forecast Totals'!AE$3</f>
        <v>Feb</v>
      </c>
      <c r="AB160" s="13" t="str">
        <f>'2023 Forecast Totals'!AF$3</f>
        <v>Mar</v>
      </c>
      <c r="AC160" s="13" t="str">
        <f>'2023 Forecast Totals'!AG$3</f>
        <v>Apr</v>
      </c>
      <c r="AD160" s="13" t="str">
        <f>'2023 Forecast Totals'!AH$3</f>
        <v>May</v>
      </c>
      <c r="AE160" s="13" t="str">
        <f>'2023 Forecast Totals'!AI$3</f>
        <v>Jun</v>
      </c>
      <c r="AF160" s="13" t="str">
        <f>'2023 Forecast Totals'!AJ$3</f>
        <v>Jul</v>
      </c>
      <c r="AG160" s="13" t="str">
        <f>'2023 Forecast Totals'!AK$3</f>
        <v>Aug</v>
      </c>
      <c r="AH160" s="13" t="str">
        <f>'2023 Forecast Totals'!AL$3</f>
        <v>Sep</v>
      </c>
      <c r="AI160" s="13" t="str">
        <f>'2023 Forecast Totals'!AM$3</f>
        <v>Oct</v>
      </c>
      <c r="AJ160" s="13" t="str">
        <f>'2023 Forecast Totals'!AN$3</f>
        <v>Nov</v>
      </c>
      <c r="AK160" s="13" t="str">
        <f>'2023 Forecast Totals'!AO$3</f>
        <v>Dec</v>
      </c>
    </row>
    <row r="161" spans="1:38" ht="15.75" customHeight="1">
      <c r="A161" s="13" t="str">
        <f>'2023 Forecast Totals'!A41</f>
        <v>Total Revenue</v>
      </c>
      <c r="B161" s="100">
        <f>'2023 Forecast Totals'!D29</f>
        <v>3071</v>
      </c>
      <c r="C161" s="100">
        <f>'2023 Forecast Totals'!E29</f>
        <v>3106.5</v>
      </c>
      <c r="D161" s="100">
        <f>'2023 Forecast Totals'!F29</f>
        <v>3142</v>
      </c>
      <c r="E161" s="100">
        <f>'2023 Forecast Totals'!G29</f>
        <v>3177.5</v>
      </c>
      <c r="F161" s="100">
        <f>'2023 Forecast Totals'!H29</f>
        <v>3177.5</v>
      </c>
      <c r="G161" s="100">
        <f>'2023 Forecast Totals'!I29</f>
        <v>3177.5</v>
      </c>
      <c r="H161" s="100">
        <f>'2023 Forecast Totals'!J29</f>
        <v>3213</v>
      </c>
      <c r="I161" s="100">
        <f>'2023 Forecast Totals'!K29</f>
        <v>3213</v>
      </c>
      <c r="J161" s="100">
        <f>'2023 Forecast Totals'!L29</f>
        <v>3248.5</v>
      </c>
      <c r="K161" s="100">
        <f>'2023 Forecast Totals'!M29</f>
        <v>3248.5</v>
      </c>
      <c r="L161" s="100">
        <f>'2023 Forecast Totals'!N29</f>
        <v>3248.5</v>
      </c>
      <c r="M161" s="100">
        <f>'2023 Forecast Totals'!O29</f>
        <v>3248.5</v>
      </c>
      <c r="N161" s="100">
        <f>'2023 Forecast Totals'!Q29</f>
        <v>3248.5</v>
      </c>
      <c r="O161" s="100">
        <f>'2023 Forecast Totals'!R29</f>
        <v>3248.5</v>
      </c>
      <c r="P161" s="100">
        <f>'2023 Forecast Totals'!S29</f>
        <v>3248.5</v>
      </c>
      <c r="Q161" s="100">
        <f>'2023 Forecast Totals'!T29</f>
        <v>3248.5</v>
      </c>
      <c r="R161" s="100">
        <f>'2023 Forecast Totals'!U29</f>
        <v>3248.5</v>
      </c>
      <c r="S161" s="100">
        <f>'2023 Forecast Totals'!V29</f>
        <v>248.5</v>
      </c>
      <c r="T161" s="100">
        <f>'2023 Forecast Totals'!W29</f>
        <v>3248.5</v>
      </c>
      <c r="U161" s="100">
        <f>'2023 Forecast Totals'!X29</f>
        <v>3248.5</v>
      </c>
      <c r="V161" s="100">
        <f>'2023 Forecast Totals'!Y29</f>
        <v>3248.5</v>
      </c>
      <c r="W161" s="100">
        <f>'2023 Forecast Totals'!Z29</f>
        <v>3248.5</v>
      </c>
      <c r="X161" s="100">
        <f>'2023 Forecast Totals'!AA29</f>
        <v>3248.5</v>
      </c>
      <c r="Y161" s="100">
        <f>'2023 Forecast Totals'!AB29</f>
        <v>248.5</v>
      </c>
      <c r="Z161" s="100">
        <f>'2023 Forecast Totals'!AD29</f>
        <v>3248.5</v>
      </c>
      <c r="AA161" s="100">
        <f>'2023 Forecast Totals'!AE29</f>
        <v>3248.5</v>
      </c>
      <c r="AB161" s="100">
        <f>'2023 Forecast Totals'!AF29</f>
        <v>3248.5</v>
      </c>
      <c r="AC161" s="100">
        <f>'2023 Forecast Totals'!AG29</f>
        <v>3248.5</v>
      </c>
      <c r="AD161" s="100">
        <f>'2023 Forecast Totals'!AH29</f>
        <v>3248.5</v>
      </c>
      <c r="AE161" s="100">
        <f>'2023 Forecast Totals'!AI29</f>
        <v>3248.5</v>
      </c>
      <c r="AF161" s="100">
        <f>'2023 Forecast Totals'!AJ29</f>
        <v>3248.5</v>
      </c>
      <c r="AG161" s="100">
        <f>'2023 Forecast Totals'!AK29</f>
        <v>3248.5</v>
      </c>
      <c r="AH161" s="100">
        <f>'2023 Forecast Totals'!AL29</f>
        <v>3248.5</v>
      </c>
      <c r="AI161" s="100">
        <f>'2023 Forecast Totals'!AM29</f>
        <v>3248.5</v>
      </c>
      <c r="AJ161" s="100">
        <f>'2023 Forecast Totals'!AN29</f>
        <v>3248.5</v>
      </c>
      <c r="AK161" s="100">
        <f>'2023 Forecast Totals'!AO29</f>
        <v>3248.5</v>
      </c>
      <c r="AL161" s="100"/>
    </row>
    <row r="162" spans="1:38" ht="15.75" customHeight="1">
      <c r="A162" s="13" t="str">
        <f>'2023 Forecast Totals'!A44</f>
        <v>Billable hours free</v>
      </c>
      <c r="B162" s="100">
        <f>'2023 Forecast Totals'!D44</f>
        <v>3260.1920000000009</v>
      </c>
      <c r="C162" s="100">
        <f>'2023 Forecast Totals'!E44</f>
        <v>3095.0400000000004</v>
      </c>
      <c r="D162" s="100">
        <f>'2023 Forecast Totals'!F44</f>
        <v>3590.496000000001</v>
      </c>
      <c r="E162" s="100">
        <f>'2023 Forecast Totals'!G44</f>
        <v>3095.0400000000004</v>
      </c>
      <c r="F162" s="100">
        <f>'2023 Forecast Totals'!H44</f>
        <v>3425.3440000000005</v>
      </c>
      <c r="G162" s="100">
        <f>'2023 Forecast Totals'!I44</f>
        <v>3425.3440000000005</v>
      </c>
      <c r="H162" s="100">
        <f>'2023 Forecast Totals'!J44</f>
        <v>3095.0400000000004</v>
      </c>
      <c r="I162" s="100">
        <f>'2023 Forecast Totals'!K44</f>
        <v>3590.496000000001</v>
      </c>
      <c r="J162" s="100">
        <f>'2023 Forecast Totals'!L44</f>
        <v>3095.0400000000004</v>
      </c>
      <c r="K162" s="100">
        <f>'2023 Forecast Totals'!M44</f>
        <v>3425.3440000000005</v>
      </c>
      <c r="L162" s="100">
        <f>'2023 Forecast Totals'!N44</f>
        <v>3095.0400000000004</v>
      </c>
      <c r="M162" s="100">
        <f>'2023 Forecast Totals'!O44</f>
        <v>2434.4320000000007</v>
      </c>
      <c r="N162" s="100">
        <f>'2023 Forecast Totals'!Q44</f>
        <v>3761.76</v>
      </c>
      <c r="O162" s="100">
        <f>'2023 Forecast Totals'!R44</f>
        <v>4285.4400000000005</v>
      </c>
      <c r="P162" s="100">
        <f>'2023 Forecast Totals'!S44</f>
        <v>4971.4560000000001</v>
      </c>
      <c r="Q162" s="100">
        <f>'2023 Forecast Totals'!T44</f>
        <v>4285.4400000000005</v>
      </c>
      <c r="R162" s="100">
        <f>'2023 Forecast Totals'!U44</f>
        <v>4742.7839999999997</v>
      </c>
      <c r="S162" s="100">
        <f>'2023 Forecast Totals'!V44</f>
        <v>4742.7839999999997</v>
      </c>
      <c r="T162" s="100">
        <f>'2023 Forecast Totals'!W44</f>
        <v>4285.4400000000005</v>
      </c>
      <c r="U162" s="100">
        <f>'2023 Forecast Totals'!X44</f>
        <v>4142.88</v>
      </c>
      <c r="V162" s="100">
        <f>'2023 Forecast Totals'!Y44</f>
        <v>3571.2000000000003</v>
      </c>
      <c r="W162" s="100">
        <f>'2023 Forecast Totals'!Z44</f>
        <v>3952.3199999999997</v>
      </c>
      <c r="X162" s="100">
        <f>'2023 Forecast Totals'!AA44</f>
        <v>3571.2000000000003</v>
      </c>
      <c r="Y162" s="100">
        <f>'2023 Forecast Totals'!AB44</f>
        <v>2808.96</v>
      </c>
      <c r="Z162" s="100">
        <f>'2023 Forecast Totals'!AD29</f>
        <v>3248.5</v>
      </c>
      <c r="AA162" s="100">
        <f>'2023 Forecast Totals'!AE44</f>
        <v>3571.2000000000003</v>
      </c>
      <c r="AB162" s="100">
        <f>'2023 Forecast Totals'!AF44</f>
        <v>4142.88</v>
      </c>
      <c r="AC162" s="100">
        <f>'2023 Forecast Totals'!AG44</f>
        <v>3571.2000000000003</v>
      </c>
      <c r="AD162" s="100">
        <f>'2023 Forecast Totals'!AH44</f>
        <v>3952.3199999999997</v>
      </c>
      <c r="AE162" s="100">
        <f>'2023 Forecast Totals'!AI44</f>
        <v>3952.3199999999997</v>
      </c>
      <c r="AF162" s="100">
        <f>'2023 Forecast Totals'!AJ44</f>
        <v>3571.2000000000003</v>
      </c>
      <c r="AG162" s="100">
        <f>'2023 Forecast Totals'!AK44</f>
        <v>4142.88</v>
      </c>
      <c r="AH162" s="100">
        <f>'2023 Forecast Totals'!AL44</f>
        <v>3571.2000000000003</v>
      </c>
      <c r="AI162" s="100">
        <f>'2023 Forecast Totals'!AM44</f>
        <v>3952.3199999999997</v>
      </c>
      <c r="AJ162" s="100">
        <f>'2023 Forecast Totals'!AN44</f>
        <v>3571.2000000000003</v>
      </c>
      <c r="AK162" s="100">
        <f>'2023 Forecast Totals'!AO44</f>
        <v>2808.96</v>
      </c>
      <c r="AL162" s="100"/>
    </row>
    <row r="163" spans="1:38" ht="15.75" customHeight="1">
      <c r="A163" s="13" t="s">
        <v>58</v>
      </c>
      <c r="B163" s="100">
        <f>B162+(B162*(-1*Controls!$E$16))</f>
        <v>2934.1728000000007</v>
      </c>
      <c r="C163" s="100">
        <f>C162+(C162*(-1*Controls!$E$16))</f>
        <v>2785.5360000000005</v>
      </c>
      <c r="D163" s="100">
        <f>D162+(D162*(-1*Controls!$E$16))</f>
        <v>3231.4464000000007</v>
      </c>
      <c r="E163" s="100">
        <f>E162+(E162*(-1*Controls!$E$16))</f>
        <v>2785.5360000000005</v>
      </c>
      <c r="F163" s="100">
        <f>F162+(F162*(-1*Controls!$E$16))</f>
        <v>3082.8096000000005</v>
      </c>
      <c r="G163" s="100">
        <f>G162+(G162*(-1*Controls!$E$16))</f>
        <v>3082.8096000000005</v>
      </c>
      <c r="H163" s="100">
        <f>H162+(H162*(-1*Controls!$E$16))</f>
        <v>2785.5360000000005</v>
      </c>
      <c r="I163" s="100">
        <f>I162+(I162*(-1*Controls!$E$16))</f>
        <v>3231.4464000000007</v>
      </c>
      <c r="J163" s="100">
        <f>J162+(J162*(-1*Controls!$E$16))</f>
        <v>2785.5360000000005</v>
      </c>
      <c r="K163" s="100">
        <f>K162+(K162*(-1*Controls!$E$16))</f>
        <v>3082.8096000000005</v>
      </c>
      <c r="L163" s="100">
        <f>L162+(L162*(-1*Controls!$E$16))</f>
        <v>2785.5360000000005</v>
      </c>
      <c r="M163" s="100">
        <f>M162+(M162*(-1*Controls!$E$16))</f>
        <v>2190.9888000000005</v>
      </c>
      <c r="N163" s="100">
        <f>N162+(N162*(-1*Controls!$E$16))</f>
        <v>3385.5840000000003</v>
      </c>
      <c r="O163" s="100">
        <f>O162+(O162*(-1*Controls!$E$16))</f>
        <v>3856.8960000000006</v>
      </c>
      <c r="P163" s="100">
        <f>P162+(P162*(-1*Controls!$E$16))</f>
        <v>4474.3104000000003</v>
      </c>
      <c r="Q163" s="100">
        <f>Q162+(Q162*(-1*Controls!$E$16))</f>
        <v>3856.8960000000006</v>
      </c>
      <c r="R163" s="100">
        <f>R162+(R162*(-1*Controls!$E$16))</f>
        <v>4268.5055999999995</v>
      </c>
      <c r="S163" s="100">
        <f>S162+(S162*(-1*Controls!$E$16))</f>
        <v>4268.5055999999995</v>
      </c>
      <c r="T163" s="100">
        <f>T162+(T162*(-1*Controls!$E$16))</f>
        <v>3856.8960000000006</v>
      </c>
      <c r="U163" s="100">
        <f>U162+(U162*(-1*Controls!$E$16))</f>
        <v>3728.5920000000001</v>
      </c>
      <c r="V163" s="100">
        <f>V162+(V162*(-1*Controls!$E$16))</f>
        <v>3214.0800000000004</v>
      </c>
      <c r="W163" s="100">
        <f>W162+(W162*(-1*Controls!$E$16))</f>
        <v>3557.0879999999997</v>
      </c>
      <c r="X163" s="100">
        <f>X162+(X162*(-1*Controls!$E$16))</f>
        <v>3214.0800000000004</v>
      </c>
      <c r="Y163" s="100">
        <f>Y162+(Y162*(-1*Controls!$E$16))</f>
        <v>2528.0639999999999</v>
      </c>
      <c r="Z163" s="100">
        <f>Z162+(Z162*(-1*Controls!$E$16))</f>
        <v>2923.65</v>
      </c>
      <c r="AA163" s="100">
        <f>AA162+(AA162*(-1*Controls!$E$16))</f>
        <v>3214.0800000000004</v>
      </c>
      <c r="AB163" s="100">
        <f>AB162+(AB162*(-1*Controls!$E$16))</f>
        <v>3728.5920000000001</v>
      </c>
      <c r="AC163" s="100">
        <f>AC162+(AC162*(-1*Controls!$E$16))</f>
        <v>3214.0800000000004</v>
      </c>
      <c r="AD163" s="100">
        <f>AD162+(AD162*(-1*Controls!$E$16))</f>
        <v>3557.0879999999997</v>
      </c>
      <c r="AE163" s="100">
        <f>AE162+(AE162*(-1*Controls!$E$16))</f>
        <v>3557.0879999999997</v>
      </c>
      <c r="AF163" s="100">
        <f>AF162+(AF162*(-1*Controls!$E$16))</f>
        <v>3214.0800000000004</v>
      </c>
      <c r="AG163" s="100">
        <f>AG162+(AG162*(-1*Controls!$E$16))</f>
        <v>3728.5920000000001</v>
      </c>
      <c r="AH163" s="100">
        <f>AH162+(AH162*(-1*Controls!$E$16))</f>
        <v>3214.0800000000004</v>
      </c>
      <c r="AI163" s="100">
        <f>AI162+(AI162*(-1*Controls!$E$16))</f>
        <v>3557.0879999999997</v>
      </c>
      <c r="AJ163" s="100">
        <f>AJ162+(AJ162*(-1*Controls!$E$16))</f>
        <v>3214.0800000000004</v>
      </c>
      <c r="AK163" s="100">
        <f>AK162+(AK162*(-1*Controls!$E$16))</f>
        <v>2528.0639999999999</v>
      </c>
      <c r="AL163" s="100"/>
    </row>
    <row r="164" spans="1:38" ht="15.75" customHeight="1"/>
    <row r="165" spans="1:38" ht="15.75" customHeight="1">
      <c r="A165" s="101" t="s">
        <v>59</v>
      </c>
    </row>
    <row r="166" spans="1:38" ht="15.75" customHeight="1">
      <c r="B166" s="13" t="str">
        <f>'2023 Forecast Totals'!D$3</f>
        <v>Jan</v>
      </c>
      <c r="C166" s="13" t="str">
        <f>'2023 Forecast Totals'!E$3</f>
        <v>Feb</v>
      </c>
      <c r="D166" s="13" t="str">
        <f>'2023 Forecast Totals'!F$3</f>
        <v>Mar</v>
      </c>
      <c r="E166" s="13" t="str">
        <f>'2023 Forecast Totals'!G$3</f>
        <v>Apr</v>
      </c>
      <c r="F166" s="13" t="str">
        <f>'2023 Forecast Totals'!H$3</f>
        <v>May</v>
      </c>
      <c r="G166" s="13" t="str">
        <f>'2023 Forecast Totals'!I$3</f>
        <v>Jun</v>
      </c>
      <c r="H166" s="13" t="str">
        <f>'2023 Forecast Totals'!J$3</f>
        <v>Jul</v>
      </c>
      <c r="I166" s="13" t="str">
        <f>'2023 Forecast Totals'!K$3</f>
        <v>Aug</v>
      </c>
      <c r="J166" s="13" t="str">
        <f>'2023 Forecast Totals'!L$3</f>
        <v>Sep</v>
      </c>
      <c r="K166" s="13" t="str">
        <f>'2023 Forecast Totals'!M$3</f>
        <v>Oct</v>
      </c>
      <c r="L166" s="13" t="str">
        <f>'2023 Forecast Totals'!N$3</f>
        <v>Nov</v>
      </c>
      <c r="M166" s="13" t="str">
        <f>'2023 Forecast Totals'!O$3</f>
        <v>Dec</v>
      </c>
      <c r="N166" s="13" t="str">
        <f>'2023 Forecast Totals'!Q$3</f>
        <v>Jan</v>
      </c>
      <c r="O166" s="13" t="str">
        <f>'2023 Forecast Totals'!R$3</f>
        <v>Feb</v>
      </c>
      <c r="P166" s="13" t="str">
        <f>'2023 Forecast Totals'!S$3</f>
        <v>Mar</v>
      </c>
      <c r="Q166" s="13" t="str">
        <f>'2023 Forecast Totals'!T$3</f>
        <v>Apr</v>
      </c>
      <c r="R166" s="13" t="str">
        <f>'2023 Forecast Totals'!U$3</f>
        <v>May</v>
      </c>
      <c r="S166" s="13" t="str">
        <f>'2023 Forecast Totals'!V$3</f>
        <v>Jun</v>
      </c>
      <c r="T166" s="13" t="str">
        <f>'2023 Forecast Totals'!W$3</f>
        <v>Jul</v>
      </c>
      <c r="U166" s="13" t="str">
        <f>'2023 Forecast Totals'!X$3</f>
        <v>Aug</v>
      </c>
      <c r="V166" s="13" t="str">
        <f>'2023 Forecast Totals'!Y$3</f>
        <v>Sep</v>
      </c>
      <c r="W166" s="13" t="str">
        <f>'2023 Forecast Totals'!Z$3</f>
        <v>Oct</v>
      </c>
      <c r="X166" s="13" t="str">
        <f>'2023 Forecast Totals'!AA$3</f>
        <v>Nov</v>
      </c>
      <c r="Y166" s="13" t="str">
        <f>'2023 Forecast Totals'!AB$3</f>
        <v>Dec</v>
      </c>
      <c r="Z166" s="13" t="str">
        <f>'2023 Forecast Totals'!AD$3</f>
        <v>Jan</v>
      </c>
      <c r="AA166" s="13" t="str">
        <f>'2023 Forecast Totals'!AE$3</f>
        <v>Feb</v>
      </c>
      <c r="AB166" s="13" t="str">
        <f>'2023 Forecast Totals'!AF$3</f>
        <v>Mar</v>
      </c>
      <c r="AC166" s="13" t="str">
        <f>'2023 Forecast Totals'!AG$3</f>
        <v>Apr</v>
      </c>
      <c r="AD166" s="13" t="str">
        <f>'2023 Forecast Totals'!AH$3</f>
        <v>May</v>
      </c>
      <c r="AE166" s="13" t="str">
        <f>'2023 Forecast Totals'!AI$3</f>
        <v>Jun</v>
      </c>
      <c r="AF166" s="13" t="str">
        <f>'2023 Forecast Totals'!AJ$3</f>
        <v>Jul</v>
      </c>
      <c r="AG166" s="13" t="str">
        <f>'2023 Forecast Totals'!AK$3</f>
        <v>Aug</v>
      </c>
      <c r="AH166" s="13" t="str">
        <f>'2023 Forecast Totals'!AL$3</f>
        <v>Sep</v>
      </c>
      <c r="AI166" s="13" t="str">
        <f>'2023 Forecast Totals'!AM$3</f>
        <v>Oct</v>
      </c>
      <c r="AJ166" s="13" t="str">
        <f>'2023 Forecast Totals'!AN$3</f>
        <v>Nov</v>
      </c>
      <c r="AK166" s="13" t="str">
        <f>'2023 Forecast Totals'!AO$3</f>
        <v>Dec</v>
      </c>
    </row>
    <row r="167" spans="1:38" ht="15.75" customHeight="1">
      <c r="A167" s="13" t="s">
        <v>60</v>
      </c>
      <c r="B167" s="75">
        <f>'2023 Forecast Totals'!D61*-1</f>
        <v>246486.24</v>
      </c>
      <c r="C167" s="75">
        <f>'2023 Forecast Totals'!E61*-1</f>
        <v>234748.79999999999</v>
      </c>
      <c r="D167" s="75">
        <f>'2023 Forecast Totals'!F61*-1</f>
        <v>269961.12</v>
      </c>
      <c r="E167" s="75">
        <f>'2023 Forecast Totals'!G61*-1</f>
        <v>234748.79999999999</v>
      </c>
      <c r="F167" s="75">
        <f>'2023 Forecast Totals'!H61*-1</f>
        <v>258223.68</v>
      </c>
      <c r="G167" s="75">
        <f>'2023 Forecast Totals'!I61*-1</f>
        <v>258223.68</v>
      </c>
      <c r="H167" s="75">
        <f>'2023 Forecast Totals'!J61*-1</f>
        <v>234748.79999999999</v>
      </c>
      <c r="I167" s="75">
        <f>'2023 Forecast Totals'!K61*-1</f>
        <v>269961.12</v>
      </c>
      <c r="J167" s="75">
        <f>'2023 Forecast Totals'!L61*-1</f>
        <v>234748.79999999999</v>
      </c>
      <c r="K167" s="75">
        <f>'2023 Forecast Totals'!M61*-1</f>
        <v>258223.68</v>
      </c>
      <c r="L167" s="75">
        <f>'2023 Forecast Totals'!N61*-1</f>
        <v>234748.79999999999</v>
      </c>
      <c r="M167" s="75">
        <f>'2023 Forecast Totals'!O61*-1</f>
        <v>187799.04000000001</v>
      </c>
      <c r="N167" s="75">
        <f>'2023 Forecast Totals'!Q61*-1</f>
        <v>284407.2</v>
      </c>
      <c r="O167" s="75">
        <f>'2023 Forecast Totals'!R61*-1</f>
        <v>325036.79999999999</v>
      </c>
      <c r="P167" s="75">
        <f>'2023 Forecast Totals'!S61*-1</f>
        <v>373792.32</v>
      </c>
      <c r="Q167" s="75">
        <f>'2023 Forecast Totals'!T61*-1</f>
        <v>325036.79999999999</v>
      </c>
      <c r="R167" s="75">
        <f>'2023 Forecast Totals'!U61*-1</f>
        <v>357540.48</v>
      </c>
      <c r="S167" s="75">
        <f>'2023 Forecast Totals'!V61*-1</f>
        <v>357540.48</v>
      </c>
      <c r="T167" s="75">
        <f>'2023 Forecast Totals'!W61*-1</f>
        <v>325036.79999999999</v>
      </c>
      <c r="U167" s="75">
        <f>'2023 Forecast Totals'!X61*-1</f>
        <v>311493.59999999998</v>
      </c>
      <c r="V167" s="75">
        <f>'2023 Forecast Totals'!Y61*-1</f>
        <v>270864</v>
      </c>
      <c r="W167" s="75">
        <f>'2023 Forecast Totals'!Z61*-1</f>
        <v>297950.40000000002</v>
      </c>
      <c r="X167" s="75">
        <f>'2023 Forecast Totals'!AA61*-1</f>
        <v>270864</v>
      </c>
      <c r="Y167" s="75">
        <f>'2023 Forecast Totals'!AB61*-1</f>
        <v>216691.20000000001</v>
      </c>
      <c r="Z167" s="75">
        <f>'2023 Forecast Totals'!AD61*-1</f>
        <v>284407.2</v>
      </c>
      <c r="AA167" s="75">
        <f>'2023 Forecast Totals'!AE61*-1</f>
        <v>270864</v>
      </c>
      <c r="AB167" s="75">
        <f>'2023 Forecast Totals'!AF61*-1</f>
        <v>311493.59999999998</v>
      </c>
      <c r="AC167" s="75">
        <f>'2023 Forecast Totals'!AG61*-1</f>
        <v>270864</v>
      </c>
      <c r="AD167" s="75">
        <f>'2023 Forecast Totals'!AH61*-1</f>
        <v>297950.40000000002</v>
      </c>
      <c r="AE167" s="75">
        <f>'2023 Forecast Totals'!AI61*-1</f>
        <v>297950.40000000002</v>
      </c>
      <c r="AF167" s="75">
        <f>'2023 Forecast Totals'!AJ61*-1</f>
        <v>270864</v>
      </c>
      <c r="AG167" s="75">
        <f>'2023 Forecast Totals'!AK61*-1</f>
        <v>311493.59999999998</v>
      </c>
      <c r="AH167" s="75">
        <f>'2023 Forecast Totals'!AL61*-1</f>
        <v>270864</v>
      </c>
      <c r="AI167" s="75">
        <f>'2023 Forecast Totals'!AM61*-1</f>
        <v>297950.40000000002</v>
      </c>
      <c r="AJ167" s="75">
        <f>'2023 Forecast Totals'!AN61*-1</f>
        <v>270864</v>
      </c>
      <c r="AK167" s="75">
        <f>'2023 Forecast Totals'!AO61*-1</f>
        <v>216691.20000000001</v>
      </c>
      <c r="AL167" s="75"/>
    </row>
    <row r="168" spans="1:38" ht="15.75" customHeight="1">
      <c r="A168" s="13" t="s">
        <v>61</v>
      </c>
      <c r="B168" s="75">
        <f>'2023 Forecast Totals'!D63</f>
        <v>60613.760000000009</v>
      </c>
      <c r="C168" s="75">
        <f>'2023 Forecast Totals'!E63</f>
        <v>75901.200000000012</v>
      </c>
      <c r="D168" s="75">
        <f>'2023 Forecast Totals'!F63</f>
        <v>44238.880000000005</v>
      </c>
      <c r="E168" s="75">
        <f>'2023 Forecast Totals'!G63</f>
        <v>83001.200000000012</v>
      </c>
      <c r="F168" s="75">
        <f>'2023 Forecast Totals'!H63</f>
        <v>59526.320000000007</v>
      </c>
      <c r="G168" s="75">
        <f>'2023 Forecast Totals'!I63</f>
        <v>59526.320000000007</v>
      </c>
      <c r="H168" s="75">
        <f>'2023 Forecast Totals'!J63</f>
        <v>86551.200000000012</v>
      </c>
      <c r="I168" s="75">
        <f>'2023 Forecast Totals'!K63</f>
        <v>51338.880000000005</v>
      </c>
      <c r="J168" s="75">
        <f>'2023 Forecast Totals'!L63</f>
        <v>90101.200000000012</v>
      </c>
      <c r="K168" s="75">
        <f>'2023 Forecast Totals'!M63</f>
        <v>66626.320000000007</v>
      </c>
      <c r="L168" s="75">
        <f>'2023 Forecast Totals'!N63</f>
        <v>90101.200000000012</v>
      </c>
      <c r="M168" s="75">
        <f>'2023 Forecast Totals'!O63</f>
        <v>137050.96</v>
      </c>
      <c r="N168" s="75">
        <f>'2023 Forecast Totals'!Q63</f>
        <v>40442.799999999988</v>
      </c>
      <c r="O168" s="75">
        <f>'2023 Forecast Totals'!R63</f>
        <v>-186.79999999998836</v>
      </c>
      <c r="P168" s="75">
        <f>'2023 Forecast Totals'!S63</f>
        <v>-48942.320000000007</v>
      </c>
      <c r="Q168" s="75">
        <f>'2023 Forecast Totals'!T63</f>
        <v>-186.79999999998836</v>
      </c>
      <c r="R168" s="75">
        <f>'2023 Forecast Totals'!U63</f>
        <v>-32690.479999999981</v>
      </c>
      <c r="S168" s="75">
        <f>'2023 Forecast Totals'!V63</f>
        <v>-332690.48</v>
      </c>
      <c r="T168" s="75">
        <f>'2023 Forecast Totals'!W63</f>
        <v>-186.79999999998836</v>
      </c>
      <c r="U168" s="75">
        <f>'2023 Forecast Totals'!X63</f>
        <v>13356.400000000023</v>
      </c>
      <c r="V168" s="75">
        <f>'2023 Forecast Totals'!Y63</f>
        <v>53986</v>
      </c>
      <c r="W168" s="75">
        <f>'2023 Forecast Totals'!Z63</f>
        <v>26899.599999999977</v>
      </c>
      <c r="X168" s="75">
        <f>'2023 Forecast Totals'!AA63</f>
        <v>53986</v>
      </c>
      <c r="Y168" s="75">
        <f>'2023 Forecast Totals'!AB63</f>
        <v>-191841.2</v>
      </c>
      <c r="Z168" s="75">
        <f>'2023 Forecast Totals'!AD63</f>
        <v>40442.799999999988</v>
      </c>
      <c r="AA168" s="75">
        <f>'2023 Forecast Totals'!AE63</f>
        <v>53986</v>
      </c>
      <c r="AB168" s="75">
        <f>'2023 Forecast Totals'!AF63</f>
        <v>13356.400000000023</v>
      </c>
      <c r="AC168" s="75">
        <f>'2023 Forecast Totals'!AG63</f>
        <v>53986</v>
      </c>
      <c r="AD168" s="75">
        <f>'2023 Forecast Totals'!AH63</f>
        <v>26899.599999999977</v>
      </c>
      <c r="AE168" s="75">
        <f>'2023 Forecast Totals'!AI63</f>
        <v>26899.599999999977</v>
      </c>
      <c r="AF168" s="75">
        <f>'2023 Forecast Totals'!AJ63</f>
        <v>53986</v>
      </c>
      <c r="AG168" s="75">
        <f>'2023 Forecast Totals'!AK63</f>
        <v>13356.400000000023</v>
      </c>
      <c r="AH168" s="75">
        <f>'2023 Forecast Totals'!AL63</f>
        <v>53986</v>
      </c>
      <c r="AI168" s="75">
        <f>'2023 Forecast Totals'!AM63</f>
        <v>26899.599999999977</v>
      </c>
      <c r="AJ168" s="75">
        <f>'2023 Forecast Totals'!AN63</f>
        <v>53986</v>
      </c>
      <c r="AK168" s="75">
        <f>'2023 Forecast Totals'!AO63</f>
        <v>108158.79999999999</v>
      </c>
      <c r="AL168" s="75"/>
    </row>
    <row r="169" spans="1:38" ht="15.75" customHeight="1">
      <c r="A169" s="13" t="s">
        <v>62</v>
      </c>
      <c r="B169" s="75">
        <f>'2023 Forecast Totals'!D65</f>
        <v>60613.760000000009</v>
      </c>
      <c r="C169" s="75">
        <f>'2023 Forecast Totals'!E65</f>
        <v>75901.200000000012</v>
      </c>
      <c r="D169" s="75">
        <f>'2023 Forecast Totals'!F65</f>
        <v>44238.880000000005</v>
      </c>
      <c r="E169" s="75">
        <f>'2023 Forecast Totals'!G65</f>
        <v>83001.200000000012</v>
      </c>
      <c r="F169" s="75">
        <f>'2023 Forecast Totals'!H65</f>
        <v>59526.320000000007</v>
      </c>
      <c r="G169" s="75">
        <f>'2023 Forecast Totals'!I65</f>
        <v>59526.320000000007</v>
      </c>
      <c r="H169" s="75">
        <f>'2023 Forecast Totals'!J65</f>
        <v>86551.200000000012</v>
      </c>
      <c r="I169" s="75">
        <f>'2023 Forecast Totals'!K65</f>
        <v>51338.880000000005</v>
      </c>
      <c r="J169" s="75">
        <f>'2023 Forecast Totals'!L65</f>
        <v>90101.200000000012</v>
      </c>
      <c r="K169" s="75">
        <f>'2023 Forecast Totals'!M65</f>
        <v>66626.320000000007</v>
      </c>
      <c r="L169" s="75">
        <f>'2023 Forecast Totals'!N65</f>
        <v>90101.200000000012</v>
      </c>
      <c r="M169" s="75">
        <f>'2023 Forecast Totals'!O65</f>
        <v>137050.96</v>
      </c>
      <c r="N169" s="75">
        <f>'2023 Forecast Totals'!Q65</f>
        <v>40442.799999999988</v>
      </c>
      <c r="O169" s="75">
        <f>'2023 Forecast Totals'!R65</f>
        <v>-186.79999999998836</v>
      </c>
      <c r="P169" s="75">
        <f>'2023 Forecast Totals'!S65</f>
        <v>-48942.320000000007</v>
      </c>
      <c r="Q169" s="75">
        <f>'2023 Forecast Totals'!T65</f>
        <v>-186.79999999998836</v>
      </c>
      <c r="R169" s="75">
        <f>'2023 Forecast Totals'!U65</f>
        <v>-32690.479999999981</v>
      </c>
      <c r="S169" s="75">
        <f>'2023 Forecast Totals'!V65</f>
        <v>-332690.48</v>
      </c>
      <c r="T169" s="75">
        <f>'2023 Forecast Totals'!W65</f>
        <v>-186.79999999998836</v>
      </c>
      <c r="U169" s="75">
        <f>'2023 Forecast Totals'!X65</f>
        <v>13356.400000000023</v>
      </c>
      <c r="V169" s="75">
        <f>'2023 Forecast Totals'!Y65</f>
        <v>53986</v>
      </c>
      <c r="W169" s="75">
        <f>'2023 Forecast Totals'!Z65</f>
        <v>26899.599999999977</v>
      </c>
      <c r="X169" s="75">
        <f>'2023 Forecast Totals'!AA65</f>
        <v>53986</v>
      </c>
      <c r="Y169" s="75">
        <f>'2023 Forecast Totals'!AB65</f>
        <v>-191841.2</v>
      </c>
      <c r="Z169" s="75">
        <f>'2023 Forecast Totals'!AD65</f>
        <v>40442.799999999988</v>
      </c>
      <c r="AA169" s="75">
        <f>'2023 Forecast Totals'!AE65</f>
        <v>53986</v>
      </c>
      <c r="AB169" s="75">
        <f>'2023 Forecast Totals'!AF65</f>
        <v>13356.400000000023</v>
      </c>
      <c r="AC169" s="75">
        <f>'2023 Forecast Totals'!AG65</f>
        <v>53986</v>
      </c>
      <c r="AD169" s="75">
        <f>'2023 Forecast Totals'!AH65</f>
        <v>26899.599999999977</v>
      </c>
      <c r="AE169" s="75">
        <f>'2023 Forecast Totals'!AI65</f>
        <v>26899.599999999977</v>
      </c>
      <c r="AF169" s="75">
        <f>'2023 Forecast Totals'!AJ65</f>
        <v>53986</v>
      </c>
      <c r="AG169" s="75">
        <f>'2023 Forecast Totals'!AK65</f>
        <v>13356.400000000023</v>
      </c>
      <c r="AH169" s="75">
        <f>'2023 Forecast Totals'!AL65</f>
        <v>53986</v>
      </c>
      <c r="AI169" s="75">
        <f>'2023 Forecast Totals'!AM65</f>
        <v>26899.599999999977</v>
      </c>
      <c r="AJ169" s="75">
        <f>'2023 Forecast Totals'!AN65</f>
        <v>53986</v>
      </c>
      <c r="AK169" s="75">
        <f>'2023 Forecast Totals'!AO65</f>
        <v>108158.79999999999</v>
      </c>
      <c r="AL169" s="75"/>
    </row>
    <row r="170" spans="1:38" ht="15.75" customHeight="1">
      <c r="A170" s="13" t="s">
        <v>63</v>
      </c>
      <c r="B170" s="102">
        <f t="shared" ref="B170:AK170" si="0">(B168/B167)-1</f>
        <v>-0.75408866636936811</v>
      </c>
      <c r="C170" s="102">
        <f t="shared" si="0"/>
        <v>-0.67667055167055157</v>
      </c>
      <c r="D170" s="102">
        <f t="shared" si="0"/>
        <v>-0.8361286988289276</v>
      </c>
      <c r="E170" s="102">
        <f t="shared" si="0"/>
        <v>-0.64642545563598186</v>
      </c>
      <c r="F170" s="102">
        <f t="shared" si="0"/>
        <v>-0.76947768694180174</v>
      </c>
      <c r="G170" s="102">
        <f t="shared" si="0"/>
        <v>-0.76947768694180174</v>
      </c>
      <c r="H170" s="102">
        <f t="shared" si="0"/>
        <v>-0.63130290761869701</v>
      </c>
      <c r="I170" s="102">
        <f t="shared" si="0"/>
        <v>-0.80982861532060613</v>
      </c>
      <c r="J170" s="102">
        <f t="shared" si="0"/>
        <v>-0.61618035960141215</v>
      </c>
      <c r="K170" s="102">
        <f t="shared" si="0"/>
        <v>-0.74198214509219285</v>
      </c>
      <c r="L170" s="102">
        <f t="shared" si="0"/>
        <v>-0.61618035960141215</v>
      </c>
      <c r="M170" s="102">
        <f t="shared" si="0"/>
        <v>-0.27022544950176541</v>
      </c>
      <c r="N170" s="102">
        <f t="shared" si="0"/>
        <v>-0.8577996618932292</v>
      </c>
      <c r="O170" s="102">
        <f t="shared" si="0"/>
        <v>-1.0005747041565756</v>
      </c>
      <c r="P170" s="102">
        <f t="shared" si="0"/>
        <v>-1.1309345253535439</v>
      </c>
      <c r="Q170" s="102">
        <f t="shared" si="0"/>
        <v>-1.0005747041565756</v>
      </c>
      <c r="R170" s="102">
        <f t="shared" si="0"/>
        <v>-1.0914315492332505</v>
      </c>
      <c r="S170" s="102">
        <f t="shared" si="0"/>
        <v>-1.9304973803245997</v>
      </c>
      <c r="T170" s="102">
        <f t="shared" si="0"/>
        <v>-1.0005747041565756</v>
      </c>
      <c r="U170" s="102">
        <f t="shared" si="0"/>
        <v>-0.95712143042425257</v>
      </c>
      <c r="V170" s="102">
        <f t="shared" si="0"/>
        <v>-0.80068964498789064</v>
      </c>
      <c r="W170" s="102">
        <f t="shared" si="0"/>
        <v>-0.90971785907990066</v>
      </c>
      <c r="X170" s="102">
        <f t="shared" si="0"/>
        <v>-0.80068964498789064</v>
      </c>
      <c r="Y170" s="102">
        <f t="shared" si="0"/>
        <v>-1.88532067753559</v>
      </c>
      <c r="Z170" s="102">
        <f t="shared" si="0"/>
        <v>-0.8577996618932292</v>
      </c>
      <c r="AA170" s="102">
        <f t="shared" si="0"/>
        <v>-0.80068964498789064</v>
      </c>
      <c r="AB170" s="102">
        <f t="shared" si="0"/>
        <v>-0.95712143042425257</v>
      </c>
      <c r="AC170" s="102">
        <f t="shared" si="0"/>
        <v>-0.80068964498789064</v>
      </c>
      <c r="AD170" s="102">
        <f t="shared" si="0"/>
        <v>-0.90971785907990066</v>
      </c>
      <c r="AE170" s="102">
        <f t="shared" si="0"/>
        <v>-0.90971785907990066</v>
      </c>
      <c r="AF170" s="102">
        <f t="shared" si="0"/>
        <v>-0.80068964498789064</v>
      </c>
      <c r="AG170" s="102">
        <f t="shared" si="0"/>
        <v>-0.95712143042425257</v>
      </c>
      <c r="AH170" s="102">
        <f t="shared" si="0"/>
        <v>-0.80068964498789064</v>
      </c>
      <c r="AI170" s="102">
        <f t="shared" si="0"/>
        <v>-0.90971785907990066</v>
      </c>
      <c r="AJ170" s="102">
        <f t="shared" si="0"/>
        <v>-0.80068964498789064</v>
      </c>
      <c r="AK170" s="102">
        <f t="shared" si="0"/>
        <v>-0.50086205623486335</v>
      </c>
      <c r="AL170" s="102"/>
    </row>
    <row r="171" spans="1:38" ht="15.75" customHeight="1"/>
    <row r="172" spans="1:38" ht="15.75" customHeight="1"/>
    <row r="173" spans="1:38" ht="15.75" customHeight="1"/>
    <row r="174" spans="1:38" ht="15.75" customHeight="1"/>
    <row r="175" spans="1:38" ht="15.75" customHeight="1"/>
    <row r="176" spans="1:38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2:R1000"/>
  <sheetViews>
    <sheetView topLeftCell="A60" workbookViewId="0"/>
  </sheetViews>
  <sheetFormatPr defaultColWidth="14.42578125" defaultRowHeight="15" customHeight="1"/>
  <cols>
    <col min="1" max="1" width="8.7109375" customWidth="1"/>
    <col min="2" max="2" width="33.42578125" customWidth="1"/>
    <col min="3" max="3" width="36.7109375" customWidth="1"/>
    <col min="4" max="4" width="16.5703125" customWidth="1"/>
    <col min="5" max="5" width="20.42578125" customWidth="1"/>
    <col min="6" max="6" width="8.7109375" customWidth="1"/>
    <col min="7" max="7" width="31" customWidth="1"/>
    <col min="8" max="8" width="15.28515625" customWidth="1"/>
    <col min="9" max="9" width="4.7109375" customWidth="1"/>
    <col min="10" max="10" width="8.7109375" customWidth="1"/>
    <col min="11" max="11" width="11.85546875" customWidth="1"/>
    <col min="12" max="12" width="18.42578125" customWidth="1"/>
    <col min="13" max="13" width="17.7109375" customWidth="1"/>
    <col min="14" max="14" width="5.85546875" customWidth="1"/>
    <col min="15" max="16" width="8.7109375" customWidth="1"/>
    <col min="17" max="17" width="27" customWidth="1"/>
    <col min="18" max="18" width="20" customWidth="1"/>
    <col min="19" max="26" width="8.7109375" customWidth="1"/>
  </cols>
  <sheetData>
    <row r="2" spans="2:14">
      <c r="B2" s="103"/>
      <c r="C2" s="104" t="s">
        <v>64</v>
      </c>
      <c r="D2" s="105"/>
      <c r="E2" s="106"/>
      <c r="F2" s="103"/>
    </row>
    <row r="3" spans="2:14">
      <c r="B3" s="107"/>
      <c r="C3" s="108"/>
      <c r="D3" s="107" t="s">
        <v>65</v>
      </c>
      <c r="E3" s="109" t="s">
        <v>66</v>
      </c>
      <c r="F3" s="107"/>
    </row>
    <row r="4" spans="2:14">
      <c r="B4" s="107"/>
      <c r="C4" s="108" t="s">
        <v>67</v>
      </c>
      <c r="D4" s="107">
        <f>E4*60</f>
        <v>480</v>
      </c>
      <c r="E4" s="109">
        <v>8</v>
      </c>
      <c r="F4" s="107"/>
    </row>
    <row r="5" spans="2:14">
      <c r="B5" s="103"/>
      <c r="C5" s="110" t="s">
        <v>68</v>
      </c>
      <c r="D5" s="111">
        <v>30</v>
      </c>
      <c r="E5" s="112">
        <f>D5/60</f>
        <v>0.5</v>
      </c>
      <c r="F5" s="103"/>
    </row>
    <row r="6" spans="2:14">
      <c r="B6" s="103"/>
      <c r="C6" s="110" t="s">
        <v>69</v>
      </c>
      <c r="D6" s="111"/>
      <c r="E6" s="112">
        <f>D6/60</f>
        <v>0</v>
      </c>
      <c r="F6" s="103"/>
    </row>
    <row r="7" spans="2:14">
      <c r="B7" s="103"/>
      <c r="C7" s="110" t="s">
        <v>70</v>
      </c>
      <c r="D7" s="111">
        <v>15</v>
      </c>
      <c r="E7" s="112">
        <f>D7/60</f>
        <v>0.25</v>
      </c>
      <c r="F7" s="103"/>
      <c r="G7" s="103"/>
      <c r="H7" s="103"/>
      <c r="I7" s="103"/>
      <c r="J7" s="103"/>
    </row>
    <row r="8" spans="2:14">
      <c r="B8" s="103"/>
      <c r="C8" s="110" t="s">
        <v>71</v>
      </c>
      <c r="D8" s="111">
        <v>9</v>
      </c>
      <c r="E8" s="112">
        <f>D8/60</f>
        <v>0.15</v>
      </c>
      <c r="F8" s="103"/>
      <c r="G8" s="103"/>
      <c r="H8" s="103"/>
      <c r="I8" s="103"/>
      <c r="J8" s="103"/>
    </row>
    <row r="9" spans="2:14">
      <c r="B9" s="103"/>
      <c r="C9" s="110" t="s">
        <v>72</v>
      </c>
      <c r="D9" s="111">
        <f>SUM(D5:D8)*-1</f>
        <v>-54</v>
      </c>
      <c r="E9" s="112">
        <f>D9/60</f>
        <v>-0.9</v>
      </c>
      <c r="F9" s="103"/>
      <c r="G9" s="103"/>
      <c r="H9" s="103"/>
      <c r="I9" s="103"/>
      <c r="J9" s="103"/>
      <c r="K9" s="103"/>
      <c r="L9" s="103"/>
      <c r="M9" s="103"/>
      <c r="N9" s="103"/>
    </row>
    <row r="10" spans="2:14">
      <c r="B10" s="103"/>
      <c r="C10" s="113"/>
      <c r="D10" s="103"/>
      <c r="E10" s="112"/>
      <c r="F10" s="103"/>
      <c r="G10" s="103"/>
      <c r="H10" s="103"/>
      <c r="I10" s="103"/>
      <c r="J10" s="103"/>
      <c r="K10" s="103"/>
      <c r="L10" s="103"/>
      <c r="M10" s="103"/>
      <c r="N10" s="103"/>
    </row>
    <row r="11" spans="2:14">
      <c r="B11" s="103"/>
      <c r="C11" s="110" t="s">
        <v>73</v>
      </c>
      <c r="D11" s="114">
        <f>'Man Hours &amp; Costs'!S4+D9</f>
        <v>-18</v>
      </c>
      <c r="E11" s="112">
        <f>D11/60</f>
        <v>-0.3</v>
      </c>
      <c r="F11" s="103"/>
      <c r="G11" s="103"/>
      <c r="H11" s="103"/>
      <c r="I11" s="103"/>
      <c r="J11" s="103"/>
      <c r="K11" s="103"/>
      <c r="L11" s="103"/>
      <c r="M11" s="103"/>
      <c r="N11" s="103"/>
    </row>
    <row r="12" spans="2:14">
      <c r="B12" s="115" t="s">
        <v>74</v>
      </c>
      <c r="C12" s="116" t="s">
        <v>75</v>
      </c>
      <c r="D12" s="107">
        <f>D4+D11</f>
        <v>462</v>
      </c>
      <c r="E12" s="117">
        <f>D12/60</f>
        <v>7.7</v>
      </c>
      <c r="F12" s="103"/>
      <c r="G12" s="103"/>
      <c r="H12" s="103"/>
      <c r="I12" s="103"/>
      <c r="J12" s="103"/>
      <c r="K12" s="103"/>
      <c r="L12" s="103"/>
      <c r="M12" s="103"/>
      <c r="N12" s="103"/>
    </row>
    <row r="13" spans="2:14">
      <c r="B13" s="107"/>
      <c r="C13" s="118" t="s">
        <v>76</v>
      </c>
      <c r="D13" s="119">
        <f>D12+(D12*E15)</f>
        <v>475.86</v>
      </c>
      <c r="E13" s="120">
        <f>D13/60</f>
        <v>7.931</v>
      </c>
      <c r="F13" s="107"/>
      <c r="G13" s="107"/>
      <c r="H13" s="107"/>
      <c r="I13" s="107"/>
      <c r="J13" s="107"/>
      <c r="K13" s="107"/>
      <c r="L13" s="107"/>
      <c r="M13" s="107"/>
      <c r="N13" s="107"/>
    </row>
    <row r="15" spans="2:14" ht="49.5" customHeight="1">
      <c r="C15" s="121" t="s">
        <v>77</v>
      </c>
      <c r="D15" s="122"/>
      <c r="E15" s="123">
        <v>0.03</v>
      </c>
    </row>
    <row r="16" spans="2:14" ht="49.5" customHeight="1">
      <c r="C16" s="121" t="s">
        <v>78</v>
      </c>
      <c r="D16" s="122"/>
      <c r="E16" s="123">
        <v>0.1</v>
      </c>
    </row>
    <row r="17" spans="3:8">
      <c r="C17" s="124" t="s">
        <v>79</v>
      </c>
      <c r="D17" s="125">
        <f>COUNTA(TEAMGROWTH!D27:D43)</f>
        <v>8</v>
      </c>
      <c r="E17" s="125"/>
      <c r="F17" s="125"/>
      <c r="G17" s="125"/>
      <c r="H17" s="126"/>
    </row>
    <row r="18" spans="3:8">
      <c r="C18" s="127" t="s">
        <v>80</v>
      </c>
      <c r="D18" s="128">
        <f>COUNTA(TEAMGROWTH!D58:D63)</f>
        <v>1</v>
      </c>
      <c r="E18" s="128"/>
      <c r="F18" s="128"/>
      <c r="G18" s="128"/>
      <c r="H18" s="129"/>
    </row>
    <row r="19" spans="3:8" ht="45">
      <c r="C19" s="130" t="s">
        <v>81</v>
      </c>
      <c r="D19" s="131" t="s">
        <v>82</v>
      </c>
      <c r="E19" s="131" t="s">
        <v>83</v>
      </c>
      <c r="F19" s="131" t="s">
        <v>84</v>
      </c>
      <c r="G19" s="131" t="s">
        <v>85</v>
      </c>
      <c r="H19" s="132" t="s">
        <v>86</v>
      </c>
    </row>
    <row r="20" spans="3:8">
      <c r="C20" s="133" t="s">
        <v>87</v>
      </c>
      <c r="D20" s="13">
        <v>0.25</v>
      </c>
      <c r="E20" s="13">
        <f>D20-1</f>
        <v>-0.75</v>
      </c>
      <c r="F20" s="13">
        <v>6</v>
      </c>
      <c r="G20" s="134">
        <f>(E20/F20)*-1*(1)</f>
        <v>0.125</v>
      </c>
      <c r="H20" s="135">
        <v>9</v>
      </c>
    </row>
    <row r="21" spans="3:8" ht="15.75" customHeight="1">
      <c r="C21" s="133" t="s">
        <v>88</v>
      </c>
      <c r="D21" s="13">
        <v>0.25</v>
      </c>
      <c r="E21" s="13">
        <f>D21-1</f>
        <v>-0.75</v>
      </c>
      <c r="F21" s="13">
        <v>9</v>
      </c>
      <c r="G21" s="134">
        <f>(E21/F21)*-1</f>
        <v>8.3333333333333329E-2</v>
      </c>
      <c r="H21" s="135">
        <v>10.5</v>
      </c>
    </row>
    <row r="22" spans="3:8" ht="15.75" customHeight="1">
      <c r="C22" s="133" t="s">
        <v>89</v>
      </c>
      <c r="D22" s="13">
        <v>0.1</v>
      </c>
      <c r="E22" s="13">
        <f>D22-1</f>
        <v>-0.9</v>
      </c>
      <c r="F22" s="13">
        <v>12</v>
      </c>
      <c r="G22" s="134">
        <f>(E22/F22)*-1</f>
        <v>7.4999999999999997E-2</v>
      </c>
      <c r="H22" s="135">
        <v>18</v>
      </c>
    </row>
    <row r="23" spans="3:8" ht="15.75" customHeight="1">
      <c r="C23" s="133" t="s">
        <v>90</v>
      </c>
      <c r="D23" s="13">
        <v>0</v>
      </c>
      <c r="E23" s="13">
        <f>D23-1</f>
        <v>-1</v>
      </c>
      <c r="F23" s="13">
        <v>24</v>
      </c>
      <c r="G23" s="134">
        <f>(E23/F23)*-1</f>
        <v>4.1666666666666664E-2</v>
      </c>
      <c r="H23" s="135">
        <v>36</v>
      </c>
    </row>
    <row r="24" spans="3:8" ht="15.75" customHeight="1">
      <c r="C24" s="136" t="s">
        <v>91</v>
      </c>
      <c r="D24" s="137" t="s">
        <v>92</v>
      </c>
      <c r="E24" s="137" t="s">
        <v>65</v>
      </c>
      <c r="F24" s="137" t="s">
        <v>66</v>
      </c>
      <c r="G24" s="137"/>
      <c r="H24" s="138"/>
    </row>
    <row r="25" spans="3:8" ht="15.75" customHeight="1">
      <c r="C25" s="133" t="s">
        <v>93</v>
      </c>
      <c r="D25" s="102">
        <v>0</v>
      </c>
      <c r="E25" s="98">
        <f>TEAMGROWTH!C23*D25</f>
        <v>0</v>
      </c>
      <c r="F25" s="139">
        <f t="shared" ref="F25:F30" si="0">E25/60</f>
        <v>0</v>
      </c>
      <c r="H25" s="135"/>
    </row>
    <row r="26" spans="3:8" ht="15.75" customHeight="1">
      <c r="C26" s="133" t="s">
        <v>94</v>
      </c>
      <c r="D26" s="102">
        <v>0.7</v>
      </c>
      <c r="E26" s="98">
        <f>$D$13*D26</f>
        <v>333.10199999999998</v>
      </c>
      <c r="F26" s="139">
        <f t="shared" si="0"/>
        <v>5.5516999999999994</v>
      </c>
      <c r="H26" s="135"/>
    </row>
    <row r="27" spans="3:8" ht="15.75" customHeight="1">
      <c r="C27" s="133" t="s">
        <v>95</v>
      </c>
      <c r="D27" s="102">
        <v>0</v>
      </c>
      <c r="E27" s="98">
        <f>$D$13*D27</f>
        <v>0</v>
      </c>
      <c r="F27" s="139">
        <f t="shared" si="0"/>
        <v>0</v>
      </c>
      <c r="H27" s="135"/>
    </row>
    <row r="28" spans="3:8" ht="15.75" customHeight="1">
      <c r="C28" s="133" t="s">
        <v>96</v>
      </c>
      <c r="D28" s="102">
        <v>0.6</v>
      </c>
      <c r="E28" s="98">
        <f>$D$13*D28</f>
        <v>285.51600000000002</v>
      </c>
      <c r="F28" s="139">
        <f t="shared" si="0"/>
        <v>4.7586000000000004</v>
      </c>
      <c r="H28" s="135"/>
    </row>
    <row r="29" spans="3:8" ht="15.75" customHeight="1">
      <c r="C29" s="140" t="s">
        <v>97</v>
      </c>
      <c r="D29" s="141">
        <v>0.5</v>
      </c>
      <c r="E29" s="142">
        <f>$D$13*D29</f>
        <v>237.93</v>
      </c>
      <c r="F29" s="143">
        <f t="shared" si="0"/>
        <v>3.9655</v>
      </c>
      <c r="G29" s="128"/>
      <c r="H29" s="129"/>
    </row>
    <row r="30" spans="3:8" ht="15.75" customHeight="1">
      <c r="C30" s="133" t="s">
        <v>98</v>
      </c>
      <c r="D30" s="102">
        <v>1</v>
      </c>
      <c r="E30" s="98">
        <f>$D$13*D30</f>
        <v>475.86</v>
      </c>
      <c r="F30" s="139">
        <f t="shared" si="0"/>
        <v>7.931</v>
      </c>
    </row>
    <row r="31" spans="3:8" ht="15.75" customHeight="1"/>
    <row r="32" spans="3:8" ht="15.75" customHeight="1">
      <c r="C32" s="13" t="s">
        <v>99</v>
      </c>
    </row>
    <row r="33" spans="3:18" ht="15.75" customHeight="1"/>
    <row r="34" spans="3:18" ht="15.75" customHeight="1">
      <c r="C34" s="144"/>
      <c r="D34" s="145" t="s">
        <v>100</v>
      </c>
      <c r="E34" s="145" t="s">
        <v>101</v>
      </c>
      <c r="F34" s="145" t="s">
        <v>102</v>
      </c>
      <c r="G34" s="145" t="s">
        <v>103</v>
      </c>
      <c r="H34" s="145" t="s">
        <v>8</v>
      </c>
      <c r="I34" s="145" t="s">
        <v>104</v>
      </c>
      <c r="J34" s="145" t="s">
        <v>105</v>
      </c>
      <c r="K34" s="145" t="s">
        <v>106</v>
      </c>
      <c r="L34" s="145" t="s">
        <v>107</v>
      </c>
      <c r="M34" s="145" t="s">
        <v>108</v>
      </c>
      <c r="N34" s="145" t="s">
        <v>109</v>
      </c>
      <c r="O34" s="146" t="s">
        <v>110</v>
      </c>
      <c r="P34" s="147"/>
      <c r="Q34" s="147"/>
      <c r="R34" s="147"/>
    </row>
    <row r="35" spans="3:18" ht="15.75" customHeight="1">
      <c r="C35" s="148" t="s">
        <v>111</v>
      </c>
      <c r="D35" s="147">
        <v>8</v>
      </c>
      <c r="E35" s="147">
        <v>0</v>
      </c>
      <c r="F35" s="147">
        <v>0</v>
      </c>
      <c r="G35" s="147">
        <v>10.66</v>
      </c>
      <c r="H35" s="147">
        <v>0</v>
      </c>
      <c r="I35" s="147">
        <v>0</v>
      </c>
      <c r="J35" s="147">
        <v>5.33</v>
      </c>
      <c r="K35" s="147">
        <v>2.66</v>
      </c>
      <c r="L35" s="147">
        <v>2.66</v>
      </c>
      <c r="M35" s="147">
        <v>0</v>
      </c>
      <c r="N35" s="147">
        <v>8</v>
      </c>
      <c r="O35" s="149"/>
      <c r="P35" s="147"/>
      <c r="Q35" s="147"/>
      <c r="R35" s="147"/>
    </row>
    <row r="36" spans="3:18" ht="15.75" customHeight="1">
      <c r="C36" s="148" t="s">
        <v>112</v>
      </c>
      <c r="D36" s="147">
        <v>26.66</v>
      </c>
      <c r="E36" s="147">
        <v>0</v>
      </c>
      <c r="F36" s="147">
        <v>21.3</v>
      </c>
      <c r="G36" s="147">
        <v>16</v>
      </c>
      <c r="H36" s="147">
        <v>0</v>
      </c>
      <c r="I36" s="147">
        <v>3.24</v>
      </c>
      <c r="J36" s="147">
        <v>24</v>
      </c>
      <c r="K36" s="147">
        <v>2.66</v>
      </c>
      <c r="L36" s="147">
        <v>8</v>
      </c>
      <c r="M36" s="147">
        <v>5.33</v>
      </c>
      <c r="N36" s="147">
        <v>12</v>
      </c>
      <c r="O36" s="149"/>
      <c r="P36" s="147"/>
      <c r="Q36" s="147"/>
      <c r="R36" s="147"/>
    </row>
    <row r="37" spans="3:18" ht="15.75" customHeight="1">
      <c r="C37" s="148" t="s">
        <v>113</v>
      </c>
      <c r="D37" s="147">
        <v>11.59</v>
      </c>
      <c r="E37" s="147">
        <v>4.2510000000000003</v>
      </c>
      <c r="F37" s="147">
        <v>4.91</v>
      </c>
      <c r="G37" s="147">
        <v>7.4</v>
      </c>
      <c r="H37" s="147">
        <v>12.42</v>
      </c>
      <c r="I37" s="147">
        <v>16.34</v>
      </c>
      <c r="J37" s="147">
        <v>4</v>
      </c>
      <c r="K37" s="147">
        <v>0</v>
      </c>
      <c r="L37" s="147">
        <v>15.2</v>
      </c>
      <c r="M37" s="147">
        <v>8.3000000000000007</v>
      </c>
      <c r="N37" s="147">
        <v>3.8</v>
      </c>
      <c r="O37" s="149"/>
      <c r="P37" s="147"/>
      <c r="Q37" s="147"/>
      <c r="R37" s="147"/>
    </row>
    <row r="38" spans="3:18" ht="15.75" customHeight="1">
      <c r="C38" s="148" t="s">
        <v>114</v>
      </c>
      <c r="D38" s="147">
        <v>10.66</v>
      </c>
      <c r="E38" s="147">
        <v>15.38</v>
      </c>
      <c r="F38" s="147">
        <v>5.38</v>
      </c>
      <c r="G38" s="147">
        <v>5.8</v>
      </c>
      <c r="H38" s="147">
        <v>4.5</v>
      </c>
      <c r="I38" s="147">
        <v>8</v>
      </c>
      <c r="J38" s="147">
        <v>16.690000000000001</v>
      </c>
      <c r="K38" s="147">
        <v>1</v>
      </c>
      <c r="L38" s="147">
        <v>6</v>
      </c>
      <c r="M38" s="147">
        <v>3.33</v>
      </c>
      <c r="N38" s="147">
        <v>31</v>
      </c>
      <c r="O38" s="149"/>
      <c r="P38" s="147"/>
      <c r="Q38" s="147"/>
      <c r="R38" s="147"/>
    </row>
    <row r="39" spans="3:18" ht="15.75" customHeight="1">
      <c r="C39" s="150" t="s">
        <v>115</v>
      </c>
      <c r="D39" s="151">
        <v>14.227499999999999</v>
      </c>
      <c r="E39" s="151">
        <v>4.9077500000000001</v>
      </c>
      <c r="F39" s="151">
        <v>7.8975</v>
      </c>
      <c r="G39" s="151">
        <v>9.9649999999999999</v>
      </c>
      <c r="H39" s="151">
        <v>4.2300000000000004</v>
      </c>
      <c r="I39" s="151">
        <v>6.8949999999999996</v>
      </c>
      <c r="J39" s="151">
        <v>12.505000000000001</v>
      </c>
      <c r="K39" s="151">
        <v>1.58</v>
      </c>
      <c r="L39" s="151">
        <v>7.9649999999999999</v>
      </c>
      <c r="M39" s="151">
        <v>4.24</v>
      </c>
      <c r="N39" s="151">
        <v>13.7</v>
      </c>
      <c r="O39" s="151">
        <v>0</v>
      </c>
      <c r="P39" s="147"/>
      <c r="Q39" s="147"/>
      <c r="R39" s="147"/>
    </row>
    <row r="40" spans="3:18" ht="15.75" customHeight="1">
      <c r="C40" s="147"/>
      <c r="D40" s="147"/>
      <c r="E40" s="147"/>
      <c r="F40" s="338"/>
      <c r="G40" s="337"/>
      <c r="H40" s="338"/>
      <c r="I40" s="337"/>
      <c r="J40" s="338"/>
      <c r="K40" s="337"/>
      <c r="L40" s="147"/>
      <c r="M40" s="147"/>
      <c r="N40" s="147"/>
      <c r="O40" s="147"/>
      <c r="P40" s="147"/>
      <c r="Q40" s="152" t="s">
        <v>116</v>
      </c>
      <c r="R40" s="153">
        <v>8.0102499999999992</v>
      </c>
    </row>
    <row r="41" spans="3:18" ht="15.75" customHeight="1">
      <c r="C41" s="147"/>
      <c r="D41" s="147"/>
      <c r="E41" s="147"/>
      <c r="F41" s="338"/>
      <c r="G41" s="337"/>
      <c r="H41" s="338"/>
      <c r="I41" s="337"/>
      <c r="J41" s="338"/>
      <c r="K41" s="337"/>
      <c r="L41" s="147"/>
      <c r="M41" s="147"/>
      <c r="N41" s="147"/>
      <c r="O41" s="147"/>
      <c r="P41" s="147"/>
      <c r="Q41" s="153" t="s">
        <v>117</v>
      </c>
      <c r="R41" s="153">
        <v>18</v>
      </c>
    </row>
    <row r="42" spans="3:18" ht="15.75" customHeight="1">
      <c r="C42" s="147"/>
      <c r="D42" s="147"/>
      <c r="E42" s="147"/>
      <c r="F42" s="338"/>
      <c r="G42" s="337"/>
      <c r="H42" s="338"/>
      <c r="I42" s="337"/>
      <c r="J42" s="338"/>
      <c r="K42" s="337"/>
      <c r="L42" s="147"/>
      <c r="M42" s="147"/>
      <c r="N42" s="147"/>
      <c r="O42" s="147"/>
      <c r="P42" s="147"/>
      <c r="Q42" s="153" t="s">
        <v>118</v>
      </c>
      <c r="R42" s="153">
        <v>144.18450000000001</v>
      </c>
    </row>
    <row r="43" spans="3:18" ht="15.75" customHeight="1">
      <c r="C43" s="154" t="s">
        <v>27</v>
      </c>
      <c r="D43" s="155"/>
      <c r="E43" s="155"/>
      <c r="G43" s="147"/>
      <c r="H43" s="338"/>
      <c r="I43" s="337"/>
      <c r="J43" s="338"/>
      <c r="K43" s="337"/>
      <c r="L43" s="147"/>
      <c r="M43" s="147"/>
      <c r="N43" s="147"/>
      <c r="O43" s="147"/>
      <c r="P43" s="147"/>
      <c r="Q43" s="153" t="s">
        <v>119</v>
      </c>
      <c r="R43" s="153">
        <v>2880</v>
      </c>
    </row>
    <row r="44" spans="3:18" ht="15.75" customHeight="1">
      <c r="G44" s="147"/>
      <c r="H44" s="338"/>
      <c r="I44" s="337"/>
      <c r="J44" s="338"/>
      <c r="K44" s="337"/>
      <c r="L44" s="147"/>
      <c r="M44" s="147"/>
      <c r="N44" s="147"/>
      <c r="O44" s="147"/>
      <c r="P44" s="147"/>
      <c r="Q44" s="153" t="s">
        <v>120</v>
      </c>
      <c r="R44" s="153">
        <v>5.0064062999999999E-2</v>
      </c>
    </row>
    <row r="45" spans="3:18" ht="15.75" customHeight="1">
      <c r="C45" s="101" t="s">
        <v>121</v>
      </c>
      <c r="D45" s="13">
        <v>4</v>
      </c>
      <c r="G45" s="147"/>
      <c r="H45" s="338"/>
      <c r="I45" s="337"/>
      <c r="J45" s="338"/>
      <c r="K45" s="337"/>
      <c r="L45" s="147"/>
      <c r="M45" s="147"/>
      <c r="N45" s="147"/>
      <c r="O45" s="147"/>
      <c r="P45" s="147"/>
      <c r="Q45" s="153" t="s">
        <v>122</v>
      </c>
      <c r="R45" s="156">
        <v>0.9</v>
      </c>
    </row>
    <row r="46" spans="3:18" ht="15.75" customHeight="1">
      <c r="C46" s="101" t="s">
        <v>123</v>
      </c>
      <c r="D46" s="13">
        <v>8</v>
      </c>
    </row>
    <row r="47" spans="3:18" ht="15.75" customHeight="1">
      <c r="C47" s="101" t="s">
        <v>124</v>
      </c>
      <c r="D47" s="13">
        <f>D45*D46</f>
        <v>32</v>
      </c>
    </row>
    <row r="48" spans="3:18" ht="15.75" customHeight="1">
      <c r="C48" s="103"/>
      <c r="D48" s="103"/>
      <c r="E48" s="103"/>
      <c r="F48" s="103"/>
    </row>
    <row r="49" spans="3:5" ht="15.75" customHeight="1">
      <c r="C49" s="157" t="s">
        <v>125</v>
      </c>
      <c r="D49" s="154" t="s">
        <v>126</v>
      </c>
      <c r="E49" s="154">
        <v>2080</v>
      </c>
    </row>
    <row r="50" spans="3:5" ht="15.75" customHeight="1">
      <c r="C50" s="147"/>
      <c r="E50" s="158"/>
    </row>
    <row r="51" spans="3:5" ht="15.75" customHeight="1">
      <c r="C51" s="147" t="s">
        <v>127</v>
      </c>
      <c r="D51" s="13">
        <v>54</v>
      </c>
      <c r="E51" s="75">
        <f t="shared" ref="E51:E57" si="1">D51*$E$49</f>
        <v>112320</v>
      </c>
    </row>
    <row r="52" spans="3:5" ht="15.75" customHeight="1">
      <c r="C52" s="147" t="s">
        <v>128</v>
      </c>
      <c r="D52" s="13">
        <v>54</v>
      </c>
      <c r="E52" s="75">
        <f t="shared" si="1"/>
        <v>112320</v>
      </c>
    </row>
    <row r="53" spans="3:5" ht="15.75" customHeight="1">
      <c r="C53" s="147" t="s">
        <v>129</v>
      </c>
      <c r="D53" s="13">
        <v>54</v>
      </c>
      <c r="E53" s="75">
        <f t="shared" si="1"/>
        <v>112320</v>
      </c>
    </row>
    <row r="54" spans="3:5" ht="15.75" customHeight="1">
      <c r="C54" s="147" t="s">
        <v>130</v>
      </c>
      <c r="D54" s="13">
        <v>54</v>
      </c>
      <c r="E54" s="75">
        <f t="shared" si="1"/>
        <v>112320</v>
      </c>
    </row>
    <row r="55" spans="3:5" ht="15.75" customHeight="1">
      <c r="C55" s="147" t="s">
        <v>131</v>
      </c>
      <c r="D55" s="13">
        <v>54</v>
      </c>
      <c r="E55" s="75">
        <f t="shared" si="1"/>
        <v>112320</v>
      </c>
    </row>
    <row r="56" spans="3:5" ht="15.75" customHeight="1">
      <c r="C56" s="147" t="s">
        <v>132</v>
      </c>
      <c r="D56" s="13">
        <v>54</v>
      </c>
      <c r="E56" s="75">
        <f t="shared" si="1"/>
        <v>112320</v>
      </c>
    </row>
    <row r="57" spans="3:5" ht="15.75" customHeight="1">
      <c r="C57" s="147" t="s">
        <v>133</v>
      </c>
      <c r="D57" s="13">
        <v>54</v>
      </c>
      <c r="E57" s="75">
        <f t="shared" si="1"/>
        <v>112320</v>
      </c>
    </row>
    <row r="58" spans="3:5" ht="15.75" customHeight="1">
      <c r="E58" s="75">
        <f>SUM(E50:E57)</f>
        <v>786240</v>
      </c>
    </row>
    <row r="59" spans="3:5" ht="15.75" customHeight="1">
      <c r="C59" s="147" t="s">
        <v>134</v>
      </c>
      <c r="D59" s="75">
        <f>AVERAGE(D50:D57)*-1</f>
        <v>-54</v>
      </c>
      <c r="E59" s="75">
        <f>AVERAGE(E50:E57)</f>
        <v>112320</v>
      </c>
    </row>
    <row r="60" spans="3:5" ht="15.75" customHeight="1">
      <c r="C60" s="137"/>
      <c r="D60" s="137"/>
      <c r="E60" s="137"/>
    </row>
    <row r="61" spans="3:5" ht="15.75" customHeight="1">
      <c r="C61" s="147" t="s">
        <v>135</v>
      </c>
      <c r="E61" s="159">
        <v>-11666</v>
      </c>
    </row>
    <row r="62" spans="3:5" ht="15.75" customHeight="1">
      <c r="C62" s="147" t="s">
        <v>136</v>
      </c>
      <c r="E62" s="159">
        <v>-5520</v>
      </c>
    </row>
    <row r="63" spans="3:5" ht="15.75" customHeight="1">
      <c r="C63" s="147" t="s">
        <v>137</v>
      </c>
      <c r="D63" s="13">
        <v>-29</v>
      </c>
      <c r="E63" s="158">
        <f>D63*E49</f>
        <v>-60320</v>
      </c>
    </row>
    <row r="64" spans="3:5" ht="15.75" customHeight="1">
      <c r="C64" s="137"/>
      <c r="D64" s="137"/>
      <c r="E64" s="137"/>
    </row>
    <row r="65" spans="3:5" ht="15.75" customHeight="1"/>
    <row r="66" spans="3:5" ht="15.75" customHeight="1">
      <c r="C66" s="160" t="s">
        <v>138</v>
      </c>
      <c r="D66" s="161">
        <v>120</v>
      </c>
      <c r="E66" s="162"/>
    </row>
    <row r="67" spans="3:5" ht="15.75" customHeight="1">
      <c r="C67" s="160" t="s">
        <v>139</v>
      </c>
      <c r="D67" s="161">
        <v>155</v>
      </c>
      <c r="E67" s="162"/>
    </row>
    <row r="68" spans="3:5" ht="15.75" customHeight="1">
      <c r="D68" s="163"/>
    </row>
    <row r="69" spans="3:5" ht="15.75" customHeight="1">
      <c r="D69" s="163"/>
    </row>
    <row r="70" spans="3:5" ht="15.75" customHeight="1">
      <c r="C70" s="164" t="s">
        <v>52</v>
      </c>
      <c r="D70" s="161">
        <f>D72</f>
        <v>-125</v>
      </c>
      <c r="E70" s="162"/>
    </row>
    <row r="71" spans="3:5" ht="15.75" customHeight="1">
      <c r="C71" s="165" t="s">
        <v>140</v>
      </c>
      <c r="D71" s="166">
        <v>-1500</v>
      </c>
    </row>
    <row r="72" spans="3:5" ht="15.75" customHeight="1">
      <c r="C72" s="13" t="s">
        <v>141</v>
      </c>
      <c r="D72" s="166">
        <f>D71/12</f>
        <v>-125</v>
      </c>
    </row>
    <row r="73" spans="3:5" ht="15.75" customHeight="1"/>
    <row r="74" spans="3:5" ht="15.75" customHeight="1"/>
    <row r="75" spans="3:5" ht="15.75" customHeight="1"/>
    <row r="76" spans="3:5" ht="15.75" customHeight="1"/>
    <row r="77" spans="3:5" ht="15.75" customHeight="1"/>
    <row r="78" spans="3:5" ht="15.75" customHeight="1"/>
    <row r="79" spans="3:5" ht="15.75" customHeight="1"/>
    <row r="80" spans="3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45:I45"/>
    <mergeCell ref="J45:K45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H43:I43"/>
    <mergeCell ref="J43:K43"/>
    <mergeCell ref="H44:I44"/>
    <mergeCell ref="J44:K44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O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Q17" sqref="AQ17"/>
    </sheetView>
  </sheetViews>
  <sheetFormatPr defaultColWidth="14.42578125" defaultRowHeight="15" customHeight="1"/>
  <cols>
    <col min="1" max="1" width="32.7109375" customWidth="1"/>
    <col min="2" max="2" width="10.140625" customWidth="1"/>
    <col min="3" max="14" width="12.42578125" customWidth="1"/>
    <col min="15" max="15" width="16.140625" customWidth="1"/>
    <col min="16" max="16" width="12.5703125" customWidth="1"/>
    <col min="17" max="17" width="12.7109375" customWidth="1"/>
    <col min="18" max="27" width="12.42578125" customWidth="1"/>
    <col min="28" max="28" width="14" customWidth="1"/>
    <col min="29" max="40" width="13" customWidth="1"/>
    <col min="41" max="41" width="15.140625" customWidth="1"/>
  </cols>
  <sheetData>
    <row r="1" spans="1:41" ht="12.75" customHeight="1">
      <c r="A1" s="167"/>
      <c r="B1" s="167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</row>
    <row r="2" spans="1:41" ht="12.75" customHeight="1">
      <c r="A2" s="169" t="s">
        <v>142</v>
      </c>
      <c r="B2" s="17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</row>
    <row r="3" spans="1:41" ht="12.75" customHeight="1">
      <c r="A3" s="167"/>
      <c r="B3" s="171"/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8</v>
      </c>
      <c r="H3" s="172" t="s">
        <v>9</v>
      </c>
      <c r="I3" s="172" t="s">
        <v>10</v>
      </c>
      <c r="J3" s="172" t="s">
        <v>11</v>
      </c>
      <c r="K3" s="172" t="s">
        <v>12</v>
      </c>
      <c r="L3" s="172" t="s">
        <v>13</v>
      </c>
      <c r="M3" s="172" t="s">
        <v>14</v>
      </c>
      <c r="N3" s="172" t="s">
        <v>15</v>
      </c>
      <c r="O3" s="173" t="s">
        <v>143</v>
      </c>
      <c r="P3" s="172" t="s">
        <v>4</v>
      </c>
      <c r="Q3" s="172" t="s">
        <v>5</v>
      </c>
      <c r="R3" s="172" t="s">
        <v>6</v>
      </c>
      <c r="S3" s="172" t="s">
        <v>7</v>
      </c>
      <c r="T3" s="172" t="s">
        <v>8</v>
      </c>
      <c r="U3" s="172" t="s">
        <v>9</v>
      </c>
      <c r="V3" s="172" t="s">
        <v>10</v>
      </c>
      <c r="W3" s="172" t="s">
        <v>11</v>
      </c>
      <c r="X3" s="172" t="s">
        <v>12</v>
      </c>
      <c r="Y3" s="172" t="s">
        <v>13</v>
      </c>
      <c r="Z3" s="172" t="s">
        <v>14</v>
      </c>
      <c r="AA3" s="172" t="s">
        <v>15</v>
      </c>
      <c r="AB3" s="173" t="s">
        <v>144</v>
      </c>
      <c r="AC3" s="172" t="s">
        <v>4</v>
      </c>
      <c r="AD3" s="172" t="s">
        <v>5</v>
      </c>
      <c r="AE3" s="172" t="s">
        <v>6</v>
      </c>
      <c r="AF3" s="172" t="s">
        <v>7</v>
      </c>
      <c r="AG3" s="172" t="s">
        <v>8</v>
      </c>
      <c r="AH3" s="172" t="s">
        <v>9</v>
      </c>
      <c r="AI3" s="172" t="s">
        <v>10</v>
      </c>
      <c r="AJ3" s="172" t="s">
        <v>11</v>
      </c>
      <c r="AK3" s="172" t="s">
        <v>12</v>
      </c>
      <c r="AL3" s="172" t="s">
        <v>13</v>
      </c>
      <c r="AM3" s="172" t="s">
        <v>14</v>
      </c>
      <c r="AN3" s="172" t="s">
        <v>15</v>
      </c>
      <c r="AO3" s="173" t="s">
        <v>145</v>
      </c>
    </row>
    <row r="4" spans="1:41" ht="12.75" customHeight="1">
      <c r="A4" s="167" t="s">
        <v>146</v>
      </c>
      <c r="B4" s="174"/>
      <c r="C4" s="175">
        <f>'2023 Forecast Totals'!D2</f>
        <v>26</v>
      </c>
      <c r="D4" s="176">
        <f>'2023 Forecast Totals'!E2</f>
        <v>26</v>
      </c>
      <c r="E4" s="176">
        <f>'2023 Forecast Totals'!F2</f>
        <v>26</v>
      </c>
      <c r="F4" s="176">
        <f>'2023 Forecast Totals'!G2</f>
        <v>26</v>
      </c>
      <c r="G4" s="176">
        <f>'2023 Forecast Totals'!H2</f>
        <v>26</v>
      </c>
      <c r="H4" s="176">
        <f>'2023 Forecast Totals'!I2</f>
        <v>26</v>
      </c>
      <c r="I4" s="176">
        <f>'2023 Forecast Totals'!J2</f>
        <v>26</v>
      </c>
      <c r="J4" s="176">
        <f>'2023 Forecast Totals'!K2</f>
        <v>26</v>
      </c>
      <c r="K4" s="176">
        <f>'2023 Forecast Totals'!L2</f>
        <v>26</v>
      </c>
      <c r="L4" s="176">
        <f>'2023 Forecast Totals'!M2</f>
        <v>26</v>
      </c>
      <c r="M4" s="176">
        <f>'2023 Forecast Totals'!N2</f>
        <v>26</v>
      </c>
      <c r="N4" s="176">
        <f>'2023 Forecast Totals'!O2</f>
        <v>26</v>
      </c>
      <c r="O4" s="177">
        <f>'2023 Forecast Totals'!P2</f>
        <v>26</v>
      </c>
      <c r="P4" s="176">
        <f>'2023 Forecast Totals'!Q2</f>
        <v>30</v>
      </c>
      <c r="Q4" s="176">
        <f>'2023 Forecast Totals'!R2</f>
        <v>36</v>
      </c>
      <c r="R4" s="176">
        <f>'2023 Forecast Totals'!S2</f>
        <v>36</v>
      </c>
      <c r="S4" s="176">
        <f>'2023 Forecast Totals'!T2</f>
        <v>36</v>
      </c>
      <c r="T4" s="176">
        <f>'2023 Forecast Totals'!U2</f>
        <v>36</v>
      </c>
      <c r="U4" s="176">
        <f>'2023 Forecast Totals'!V2</f>
        <v>36</v>
      </c>
      <c r="V4" s="176">
        <f>'2023 Forecast Totals'!W2</f>
        <v>36</v>
      </c>
      <c r="W4" s="176">
        <f>'2023 Forecast Totals'!X2</f>
        <v>30</v>
      </c>
      <c r="X4" s="176">
        <f>'2023 Forecast Totals'!Y2</f>
        <v>30</v>
      </c>
      <c r="Y4" s="176">
        <f>'2023 Forecast Totals'!Z2</f>
        <v>30</v>
      </c>
      <c r="Z4" s="176">
        <f>'2023 Forecast Totals'!AA2</f>
        <v>30</v>
      </c>
      <c r="AA4" s="176">
        <f>'2023 Forecast Totals'!AB2</f>
        <v>30</v>
      </c>
      <c r="AB4" s="177">
        <f>'2023 Forecast Totals'!AC2</f>
        <v>33</v>
      </c>
      <c r="AC4" s="176">
        <f>'2023 Forecast Totals'!AD2</f>
        <v>30</v>
      </c>
      <c r="AD4" s="176">
        <f>'2023 Forecast Totals'!AE2</f>
        <v>30</v>
      </c>
      <c r="AE4" s="176">
        <f>'2023 Forecast Totals'!AF2</f>
        <v>30</v>
      </c>
      <c r="AF4" s="176">
        <f>'2023 Forecast Totals'!AG2</f>
        <v>30</v>
      </c>
      <c r="AG4" s="176">
        <f>'2023 Forecast Totals'!AH2</f>
        <v>30</v>
      </c>
      <c r="AH4" s="176">
        <f>'2023 Forecast Totals'!AI2</f>
        <v>30</v>
      </c>
      <c r="AI4" s="176">
        <f>'2023 Forecast Totals'!AJ2</f>
        <v>30</v>
      </c>
      <c r="AJ4" s="176">
        <f>'2023 Forecast Totals'!AK2</f>
        <v>30</v>
      </c>
      <c r="AK4" s="176">
        <f>'2023 Forecast Totals'!AL2</f>
        <v>30</v>
      </c>
      <c r="AL4" s="176">
        <f>'2023 Forecast Totals'!AM2</f>
        <v>30</v>
      </c>
      <c r="AM4" s="176">
        <f>'2023 Forecast Totals'!AN2</f>
        <v>30</v>
      </c>
      <c r="AN4" s="176">
        <f>'2023 Forecast Totals'!AO2</f>
        <v>30</v>
      </c>
      <c r="AO4" s="177">
        <f>'2023 Forecast Totals'!AP2</f>
        <v>30</v>
      </c>
    </row>
    <row r="5" spans="1:41" ht="12.75" customHeight="1">
      <c r="A5" s="167" t="s">
        <v>147</v>
      </c>
      <c r="B5" s="174"/>
      <c r="C5" s="168">
        <v>8</v>
      </c>
      <c r="D5" s="168">
        <v>8</v>
      </c>
      <c r="E5" s="168">
        <v>8</v>
      </c>
      <c r="F5" s="168">
        <v>8</v>
      </c>
      <c r="G5" s="168">
        <v>8</v>
      </c>
      <c r="H5" s="168">
        <v>8</v>
      </c>
      <c r="I5" s="168">
        <v>8</v>
      </c>
      <c r="J5" s="168">
        <v>8</v>
      </c>
      <c r="K5" s="168">
        <v>8</v>
      </c>
      <c r="L5" s="168">
        <v>8</v>
      </c>
      <c r="M5" s="168">
        <v>8</v>
      </c>
      <c r="N5" s="168">
        <v>8</v>
      </c>
      <c r="O5" s="178"/>
      <c r="P5" s="168">
        <v>8</v>
      </c>
      <c r="Q5" s="168">
        <v>8</v>
      </c>
      <c r="R5" s="168">
        <v>8</v>
      </c>
      <c r="S5" s="168">
        <v>8</v>
      </c>
      <c r="T5" s="168">
        <v>8</v>
      </c>
      <c r="U5" s="168">
        <v>8</v>
      </c>
      <c r="V5" s="168">
        <v>8</v>
      </c>
      <c r="W5" s="168">
        <v>8</v>
      </c>
      <c r="X5" s="168">
        <v>8</v>
      </c>
      <c r="Y5" s="168">
        <v>8</v>
      </c>
      <c r="Z5" s="168">
        <v>8</v>
      </c>
      <c r="AA5" s="168">
        <v>8</v>
      </c>
      <c r="AB5" s="178"/>
      <c r="AC5" s="168">
        <v>8</v>
      </c>
      <c r="AD5" s="168">
        <v>8</v>
      </c>
      <c r="AE5" s="168">
        <v>8</v>
      </c>
      <c r="AF5" s="168">
        <v>8</v>
      </c>
      <c r="AG5" s="168">
        <v>8</v>
      </c>
      <c r="AH5" s="168">
        <v>8</v>
      </c>
      <c r="AI5" s="168">
        <v>8</v>
      </c>
      <c r="AJ5" s="168">
        <v>8</v>
      </c>
      <c r="AK5" s="168">
        <v>8</v>
      </c>
      <c r="AL5" s="168">
        <v>8</v>
      </c>
      <c r="AM5" s="168">
        <v>8</v>
      </c>
      <c r="AN5" s="168">
        <v>8</v>
      </c>
      <c r="AO5" s="178"/>
    </row>
    <row r="6" spans="1:41" ht="15" customHeight="1">
      <c r="A6" s="167" t="s">
        <v>148</v>
      </c>
      <c r="B6" s="174"/>
      <c r="C6" s="168">
        <v>21</v>
      </c>
      <c r="D6" s="168">
        <v>20</v>
      </c>
      <c r="E6" s="168">
        <v>23</v>
      </c>
      <c r="F6" s="168">
        <v>20</v>
      </c>
      <c r="G6" s="168">
        <v>22</v>
      </c>
      <c r="H6" s="168">
        <v>22</v>
      </c>
      <c r="I6" s="168">
        <v>20</v>
      </c>
      <c r="J6" s="168">
        <v>23</v>
      </c>
      <c r="K6" s="168">
        <v>20</v>
      </c>
      <c r="L6" s="168">
        <v>22</v>
      </c>
      <c r="M6" s="168">
        <v>20</v>
      </c>
      <c r="N6" s="179">
        <v>16</v>
      </c>
      <c r="O6" s="178">
        <f>SUM(C6:N6)</f>
        <v>249</v>
      </c>
      <c r="P6" s="168">
        <v>21</v>
      </c>
      <c r="Q6" s="168">
        <v>20</v>
      </c>
      <c r="R6" s="168">
        <v>23</v>
      </c>
      <c r="S6" s="168">
        <v>20</v>
      </c>
      <c r="T6" s="168">
        <v>22</v>
      </c>
      <c r="U6" s="168">
        <v>22</v>
      </c>
      <c r="V6" s="168">
        <v>20</v>
      </c>
      <c r="W6" s="168">
        <v>23</v>
      </c>
      <c r="X6" s="168">
        <v>20</v>
      </c>
      <c r="Y6" s="168">
        <v>22</v>
      </c>
      <c r="Z6" s="168">
        <v>20</v>
      </c>
      <c r="AA6" s="179">
        <v>16</v>
      </c>
      <c r="AB6" s="178">
        <f>SUM(P6:AA6)</f>
        <v>249</v>
      </c>
      <c r="AC6" s="168">
        <v>21</v>
      </c>
      <c r="AD6" s="168">
        <v>20</v>
      </c>
      <c r="AE6" s="168">
        <v>23</v>
      </c>
      <c r="AF6" s="168">
        <v>20</v>
      </c>
      <c r="AG6" s="168">
        <v>22</v>
      </c>
      <c r="AH6" s="168">
        <v>22</v>
      </c>
      <c r="AI6" s="168">
        <v>20</v>
      </c>
      <c r="AJ6" s="168">
        <v>23</v>
      </c>
      <c r="AK6" s="168">
        <v>20</v>
      </c>
      <c r="AL6" s="168">
        <v>22</v>
      </c>
      <c r="AM6" s="168">
        <v>20</v>
      </c>
      <c r="AN6" s="179">
        <v>16</v>
      </c>
      <c r="AO6" s="178">
        <f>SUM(AC6:AN6)</f>
        <v>249</v>
      </c>
    </row>
    <row r="7" spans="1:41" ht="12.75" customHeight="1">
      <c r="A7" s="167" t="s">
        <v>149</v>
      </c>
      <c r="B7" s="180">
        <f>B24</f>
        <v>-54</v>
      </c>
      <c r="C7" s="168">
        <v>1</v>
      </c>
      <c r="D7" s="168"/>
      <c r="E7" s="168"/>
      <c r="F7" s="168"/>
      <c r="G7" s="168">
        <v>1</v>
      </c>
      <c r="H7" s="168"/>
      <c r="I7" s="168">
        <v>1</v>
      </c>
      <c r="J7" s="168"/>
      <c r="K7" s="168"/>
      <c r="L7" s="168"/>
      <c r="M7" s="168">
        <v>1</v>
      </c>
      <c r="N7" s="168">
        <v>1</v>
      </c>
      <c r="O7" s="178"/>
      <c r="P7" s="168">
        <v>1</v>
      </c>
      <c r="Q7" s="168"/>
      <c r="R7" s="168"/>
      <c r="S7" s="168"/>
      <c r="T7" s="168">
        <v>1</v>
      </c>
      <c r="U7" s="168"/>
      <c r="V7" s="168">
        <v>1</v>
      </c>
      <c r="W7" s="168"/>
      <c r="X7" s="168"/>
      <c r="Y7" s="168"/>
      <c r="Z7" s="168">
        <v>1</v>
      </c>
      <c r="AA7" s="168">
        <v>1</v>
      </c>
      <c r="AB7" s="178"/>
      <c r="AC7" s="168">
        <v>1</v>
      </c>
      <c r="AD7" s="168"/>
      <c r="AE7" s="168"/>
      <c r="AF7" s="168"/>
      <c r="AG7" s="168">
        <v>1</v>
      </c>
      <c r="AH7" s="168"/>
      <c r="AI7" s="168">
        <v>1</v>
      </c>
      <c r="AJ7" s="168"/>
      <c r="AK7" s="168"/>
      <c r="AL7" s="168"/>
      <c r="AM7" s="168">
        <v>1</v>
      </c>
      <c r="AN7" s="168">
        <v>1</v>
      </c>
      <c r="AO7" s="178"/>
    </row>
    <row r="8" spans="1:41" ht="12.75" customHeight="1">
      <c r="A8" s="181" t="s">
        <v>150</v>
      </c>
      <c r="B8" s="182"/>
      <c r="C8" s="183">
        <f t="shared" ref="C8:N8" si="0">C4*C5</f>
        <v>208</v>
      </c>
      <c r="D8" s="183">
        <f t="shared" si="0"/>
        <v>208</v>
      </c>
      <c r="E8" s="183">
        <f t="shared" si="0"/>
        <v>208</v>
      </c>
      <c r="F8" s="183">
        <f t="shared" si="0"/>
        <v>208</v>
      </c>
      <c r="G8" s="183">
        <f t="shared" si="0"/>
        <v>208</v>
      </c>
      <c r="H8" s="183">
        <f t="shared" si="0"/>
        <v>208</v>
      </c>
      <c r="I8" s="183">
        <f t="shared" si="0"/>
        <v>208</v>
      </c>
      <c r="J8" s="183">
        <f t="shared" si="0"/>
        <v>208</v>
      </c>
      <c r="K8" s="183">
        <f t="shared" si="0"/>
        <v>208</v>
      </c>
      <c r="L8" s="183">
        <f t="shared" si="0"/>
        <v>208</v>
      </c>
      <c r="M8" s="183">
        <f t="shared" si="0"/>
        <v>208</v>
      </c>
      <c r="N8" s="183">
        <f t="shared" si="0"/>
        <v>208</v>
      </c>
      <c r="O8" s="184"/>
      <c r="P8" s="183">
        <f t="shared" ref="P8:AA8" si="1">P4*P5</f>
        <v>240</v>
      </c>
      <c r="Q8" s="183">
        <f t="shared" si="1"/>
        <v>288</v>
      </c>
      <c r="R8" s="183">
        <f t="shared" si="1"/>
        <v>288</v>
      </c>
      <c r="S8" s="183">
        <f t="shared" si="1"/>
        <v>288</v>
      </c>
      <c r="T8" s="183">
        <f t="shared" si="1"/>
        <v>288</v>
      </c>
      <c r="U8" s="183">
        <f t="shared" si="1"/>
        <v>288</v>
      </c>
      <c r="V8" s="183">
        <f t="shared" si="1"/>
        <v>288</v>
      </c>
      <c r="W8" s="183">
        <f t="shared" si="1"/>
        <v>240</v>
      </c>
      <c r="X8" s="183">
        <f t="shared" si="1"/>
        <v>240</v>
      </c>
      <c r="Y8" s="183">
        <f t="shared" si="1"/>
        <v>240</v>
      </c>
      <c r="Z8" s="183">
        <f t="shared" si="1"/>
        <v>240</v>
      </c>
      <c r="AA8" s="183">
        <f t="shared" si="1"/>
        <v>240</v>
      </c>
      <c r="AB8" s="184"/>
      <c r="AC8" s="183">
        <f t="shared" ref="AC8:AN8" si="2">AC4*AC5</f>
        <v>240</v>
      </c>
      <c r="AD8" s="183">
        <f t="shared" si="2"/>
        <v>240</v>
      </c>
      <c r="AE8" s="183">
        <f t="shared" si="2"/>
        <v>240</v>
      </c>
      <c r="AF8" s="183">
        <f t="shared" si="2"/>
        <v>240</v>
      </c>
      <c r="AG8" s="183">
        <f t="shared" si="2"/>
        <v>240</v>
      </c>
      <c r="AH8" s="183">
        <f t="shared" si="2"/>
        <v>240</v>
      </c>
      <c r="AI8" s="183">
        <f t="shared" si="2"/>
        <v>240</v>
      </c>
      <c r="AJ8" s="183">
        <f t="shared" si="2"/>
        <v>240</v>
      </c>
      <c r="AK8" s="183">
        <f t="shared" si="2"/>
        <v>240</v>
      </c>
      <c r="AL8" s="183">
        <f t="shared" si="2"/>
        <v>240</v>
      </c>
      <c r="AM8" s="183">
        <f t="shared" si="2"/>
        <v>240</v>
      </c>
      <c r="AN8" s="183">
        <f t="shared" si="2"/>
        <v>240</v>
      </c>
      <c r="AO8" s="184"/>
    </row>
    <row r="9" spans="1:41" ht="12.75" customHeight="1">
      <c r="A9" s="181" t="s">
        <v>151</v>
      </c>
      <c r="B9" s="185"/>
      <c r="C9" s="186">
        <f t="shared" ref="C9:N9" si="3">C6*C8</f>
        <v>4368</v>
      </c>
      <c r="D9" s="186">
        <f t="shared" si="3"/>
        <v>4160</v>
      </c>
      <c r="E9" s="186">
        <f t="shared" si="3"/>
        <v>4784</v>
      </c>
      <c r="F9" s="186">
        <f t="shared" si="3"/>
        <v>4160</v>
      </c>
      <c r="G9" s="186">
        <f t="shared" si="3"/>
        <v>4576</v>
      </c>
      <c r="H9" s="186">
        <f t="shared" si="3"/>
        <v>4576</v>
      </c>
      <c r="I9" s="186">
        <f t="shared" si="3"/>
        <v>4160</v>
      </c>
      <c r="J9" s="186">
        <f t="shared" si="3"/>
        <v>4784</v>
      </c>
      <c r="K9" s="186">
        <f t="shared" si="3"/>
        <v>4160</v>
      </c>
      <c r="L9" s="186">
        <f t="shared" si="3"/>
        <v>4576</v>
      </c>
      <c r="M9" s="186">
        <f t="shared" si="3"/>
        <v>4160</v>
      </c>
      <c r="N9" s="186">
        <f t="shared" si="3"/>
        <v>3328</v>
      </c>
      <c r="O9" s="184">
        <f>SUM(C9:N9)</f>
        <v>51792</v>
      </c>
      <c r="P9" s="186">
        <f t="shared" ref="P9:AA9" si="4">P6*P8</f>
        <v>5040</v>
      </c>
      <c r="Q9" s="186">
        <f t="shared" si="4"/>
        <v>5760</v>
      </c>
      <c r="R9" s="186">
        <f t="shared" si="4"/>
        <v>6624</v>
      </c>
      <c r="S9" s="186">
        <f t="shared" si="4"/>
        <v>5760</v>
      </c>
      <c r="T9" s="186">
        <f t="shared" si="4"/>
        <v>6336</v>
      </c>
      <c r="U9" s="186">
        <f t="shared" si="4"/>
        <v>6336</v>
      </c>
      <c r="V9" s="186">
        <f t="shared" si="4"/>
        <v>5760</v>
      </c>
      <c r="W9" s="186">
        <f t="shared" si="4"/>
        <v>5520</v>
      </c>
      <c r="X9" s="186">
        <f t="shared" si="4"/>
        <v>4800</v>
      </c>
      <c r="Y9" s="186">
        <f t="shared" si="4"/>
        <v>5280</v>
      </c>
      <c r="Z9" s="186">
        <f t="shared" si="4"/>
        <v>4800</v>
      </c>
      <c r="AA9" s="186">
        <f t="shared" si="4"/>
        <v>3840</v>
      </c>
      <c r="AB9" s="184">
        <f>SUM(P9:AA9)</f>
        <v>65856</v>
      </c>
      <c r="AC9" s="186">
        <f t="shared" ref="AC9:AN9" si="5">AC6*AC8</f>
        <v>5040</v>
      </c>
      <c r="AD9" s="186">
        <f t="shared" si="5"/>
        <v>4800</v>
      </c>
      <c r="AE9" s="186">
        <f t="shared" si="5"/>
        <v>5520</v>
      </c>
      <c r="AF9" s="186">
        <f t="shared" si="5"/>
        <v>4800</v>
      </c>
      <c r="AG9" s="186">
        <f t="shared" si="5"/>
        <v>5280</v>
      </c>
      <c r="AH9" s="186">
        <f t="shared" si="5"/>
        <v>5280</v>
      </c>
      <c r="AI9" s="186">
        <f t="shared" si="5"/>
        <v>4800</v>
      </c>
      <c r="AJ9" s="186">
        <f t="shared" si="5"/>
        <v>5520</v>
      </c>
      <c r="AK9" s="186">
        <f t="shared" si="5"/>
        <v>4800</v>
      </c>
      <c r="AL9" s="186">
        <f t="shared" si="5"/>
        <v>5280</v>
      </c>
      <c r="AM9" s="186">
        <f t="shared" si="5"/>
        <v>4800</v>
      </c>
      <c r="AN9" s="186">
        <f t="shared" si="5"/>
        <v>3840</v>
      </c>
      <c r="AO9" s="184">
        <f>SUM(AC9:AN9)</f>
        <v>59760</v>
      </c>
    </row>
    <row r="10" spans="1:41" ht="12.75" customHeight="1">
      <c r="A10" s="167" t="s">
        <v>152</v>
      </c>
      <c r="B10" s="187">
        <f>Controls!E15</f>
        <v>0.03</v>
      </c>
      <c r="C10" s="188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90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90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90"/>
    </row>
    <row r="11" spans="1:41" ht="12.75" customHeight="1">
      <c r="A11" s="191" t="s">
        <v>153</v>
      </c>
      <c r="B11" s="192"/>
      <c r="C11" s="193">
        <f t="shared" ref="C11:N11" si="6">C8*$B$10</f>
        <v>6.24</v>
      </c>
      <c r="D11" s="193">
        <f t="shared" si="6"/>
        <v>6.24</v>
      </c>
      <c r="E11" s="193">
        <f t="shared" si="6"/>
        <v>6.24</v>
      </c>
      <c r="F11" s="193">
        <f t="shared" si="6"/>
        <v>6.24</v>
      </c>
      <c r="G11" s="193">
        <f t="shared" si="6"/>
        <v>6.24</v>
      </c>
      <c r="H11" s="193">
        <f t="shared" si="6"/>
        <v>6.24</v>
      </c>
      <c r="I11" s="193">
        <f t="shared" si="6"/>
        <v>6.24</v>
      </c>
      <c r="J11" s="193">
        <f t="shared" si="6"/>
        <v>6.24</v>
      </c>
      <c r="K11" s="193">
        <f t="shared" si="6"/>
        <v>6.24</v>
      </c>
      <c r="L11" s="193">
        <f t="shared" si="6"/>
        <v>6.24</v>
      </c>
      <c r="M11" s="193">
        <f t="shared" si="6"/>
        <v>6.24</v>
      </c>
      <c r="N11" s="193">
        <f t="shared" si="6"/>
        <v>6.24</v>
      </c>
      <c r="O11" s="194">
        <f>SUM(C11:N11)</f>
        <v>74.88000000000001</v>
      </c>
      <c r="P11" s="193">
        <f t="shared" ref="P11:AA11" si="7">P8*$B$10</f>
        <v>7.1999999999999993</v>
      </c>
      <c r="Q11" s="193">
        <f t="shared" si="7"/>
        <v>8.64</v>
      </c>
      <c r="R11" s="193">
        <f t="shared" si="7"/>
        <v>8.64</v>
      </c>
      <c r="S11" s="193">
        <f t="shared" si="7"/>
        <v>8.64</v>
      </c>
      <c r="T11" s="193">
        <f t="shared" si="7"/>
        <v>8.64</v>
      </c>
      <c r="U11" s="193">
        <f t="shared" si="7"/>
        <v>8.64</v>
      </c>
      <c r="V11" s="193">
        <f t="shared" si="7"/>
        <v>8.64</v>
      </c>
      <c r="W11" s="193">
        <f t="shared" si="7"/>
        <v>7.1999999999999993</v>
      </c>
      <c r="X11" s="193">
        <f t="shared" si="7"/>
        <v>7.1999999999999993</v>
      </c>
      <c r="Y11" s="193">
        <f t="shared" si="7"/>
        <v>7.1999999999999993</v>
      </c>
      <c r="Z11" s="193">
        <f t="shared" si="7"/>
        <v>7.1999999999999993</v>
      </c>
      <c r="AA11" s="193">
        <f t="shared" si="7"/>
        <v>7.1999999999999993</v>
      </c>
      <c r="AB11" s="194">
        <f>SUM(P11:AA11)</f>
        <v>95.04000000000002</v>
      </c>
      <c r="AC11" s="193">
        <f t="shared" ref="AC11:AN11" si="8">AC8*$B$10</f>
        <v>7.1999999999999993</v>
      </c>
      <c r="AD11" s="193">
        <f t="shared" si="8"/>
        <v>7.1999999999999993</v>
      </c>
      <c r="AE11" s="193">
        <f t="shared" si="8"/>
        <v>7.1999999999999993</v>
      </c>
      <c r="AF11" s="193">
        <f t="shared" si="8"/>
        <v>7.1999999999999993</v>
      </c>
      <c r="AG11" s="193">
        <f t="shared" si="8"/>
        <v>7.1999999999999993</v>
      </c>
      <c r="AH11" s="193">
        <f t="shared" si="8"/>
        <v>7.1999999999999993</v>
      </c>
      <c r="AI11" s="193">
        <f t="shared" si="8"/>
        <v>7.1999999999999993</v>
      </c>
      <c r="AJ11" s="193">
        <f t="shared" si="8"/>
        <v>7.1999999999999993</v>
      </c>
      <c r="AK11" s="193">
        <f t="shared" si="8"/>
        <v>7.1999999999999993</v>
      </c>
      <c r="AL11" s="193">
        <f t="shared" si="8"/>
        <v>7.1999999999999993</v>
      </c>
      <c r="AM11" s="193">
        <f t="shared" si="8"/>
        <v>7.1999999999999993</v>
      </c>
      <c r="AN11" s="193">
        <f t="shared" si="8"/>
        <v>7.1999999999999993</v>
      </c>
      <c r="AO11" s="194">
        <f>SUM(AC11:AN11)</f>
        <v>86.40000000000002</v>
      </c>
    </row>
    <row r="12" spans="1:41" ht="14.25" customHeight="1">
      <c r="A12" s="195" t="s">
        <v>154</v>
      </c>
      <c r="B12" s="196"/>
      <c r="C12" s="197">
        <f t="shared" ref="C12:N12" si="9">C11*C6</f>
        <v>131.04</v>
      </c>
      <c r="D12" s="197">
        <f t="shared" si="9"/>
        <v>124.80000000000001</v>
      </c>
      <c r="E12" s="197">
        <f t="shared" si="9"/>
        <v>143.52000000000001</v>
      </c>
      <c r="F12" s="197">
        <f t="shared" si="9"/>
        <v>124.80000000000001</v>
      </c>
      <c r="G12" s="197">
        <f t="shared" si="9"/>
        <v>137.28</v>
      </c>
      <c r="H12" s="197">
        <f t="shared" si="9"/>
        <v>137.28</v>
      </c>
      <c r="I12" s="197">
        <f t="shared" si="9"/>
        <v>124.80000000000001</v>
      </c>
      <c r="J12" s="197">
        <f t="shared" si="9"/>
        <v>143.52000000000001</v>
      </c>
      <c r="K12" s="197">
        <f t="shared" si="9"/>
        <v>124.80000000000001</v>
      </c>
      <c r="L12" s="197">
        <f t="shared" si="9"/>
        <v>137.28</v>
      </c>
      <c r="M12" s="197">
        <f t="shared" si="9"/>
        <v>124.80000000000001</v>
      </c>
      <c r="N12" s="197">
        <f t="shared" si="9"/>
        <v>99.84</v>
      </c>
      <c r="O12" s="194">
        <f>SUM(C12:N12)</f>
        <v>1553.7599999999998</v>
      </c>
      <c r="P12" s="197">
        <f t="shared" ref="P12:AA12" si="10">P11*P6</f>
        <v>151.19999999999999</v>
      </c>
      <c r="Q12" s="197">
        <f t="shared" si="10"/>
        <v>172.8</v>
      </c>
      <c r="R12" s="197">
        <f t="shared" si="10"/>
        <v>198.72000000000003</v>
      </c>
      <c r="S12" s="197">
        <f t="shared" si="10"/>
        <v>172.8</v>
      </c>
      <c r="T12" s="197">
        <f t="shared" si="10"/>
        <v>190.08</v>
      </c>
      <c r="U12" s="197">
        <f t="shared" si="10"/>
        <v>190.08</v>
      </c>
      <c r="V12" s="197">
        <f t="shared" si="10"/>
        <v>172.8</v>
      </c>
      <c r="W12" s="197">
        <f t="shared" si="10"/>
        <v>165.6</v>
      </c>
      <c r="X12" s="197">
        <f t="shared" si="10"/>
        <v>144</v>
      </c>
      <c r="Y12" s="197">
        <f t="shared" si="10"/>
        <v>158.39999999999998</v>
      </c>
      <c r="Z12" s="197">
        <f t="shared" si="10"/>
        <v>144</v>
      </c>
      <c r="AA12" s="197">
        <f t="shared" si="10"/>
        <v>115.19999999999999</v>
      </c>
      <c r="AB12" s="194">
        <f>SUM(P12:AA12)</f>
        <v>1975.68</v>
      </c>
      <c r="AC12" s="197">
        <f t="shared" ref="AC12:AN12" si="11">AC11*AC6</f>
        <v>151.19999999999999</v>
      </c>
      <c r="AD12" s="197">
        <f t="shared" si="11"/>
        <v>144</v>
      </c>
      <c r="AE12" s="197">
        <f t="shared" si="11"/>
        <v>165.6</v>
      </c>
      <c r="AF12" s="197">
        <f t="shared" si="11"/>
        <v>144</v>
      </c>
      <c r="AG12" s="197">
        <f t="shared" si="11"/>
        <v>158.39999999999998</v>
      </c>
      <c r="AH12" s="197">
        <f t="shared" si="11"/>
        <v>158.39999999999998</v>
      </c>
      <c r="AI12" s="197">
        <f t="shared" si="11"/>
        <v>144</v>
      </c>
      <c r="AJ12" s="197">
        <f t="shared" si="11"/>
        <v>165.6</v>
      </c>
      <c r="AK12" s="197">
        <f t="shared" si="11"/>
        <v>144</v>
      </c>
      <c r="AL12" s="197">
        <f t="shared" si="11"/>
        <v>158.39999999999998</v>
      </c>
      <c r="AM12" s="197">
        <f t="shared" si="11"/>
        <v>144</v>
      </c>
      <c r="AN12" s="197">
        <f t="shared" si="11"/>
        <v>115.19999999999999</v>
      </c>
      <c r="AO12" s="194">
        <f>SUM(AC12:AN12)</f>
        <v>1792.8</v>
      </c>
    </row>
    <row r="13" spans="1:41" ht="12.75" customHeight="1">
      <c r="A13" s="198" t="s">
        <v>155</v>
      </c>
      <c r="B13" s="196"/>
      <c r="C13" s="197">
        <f t="shared" ref="C13:N13" si="12">C11+C8</f>
        <v>214.24</v>
      </c>
      <c r="D13" s="197">
        <f t="shared" si="12"/>
        <v>214.24</v>
      </c>
      <c r="E13" s="197">
        <f t="shared" si="12"/>
        <v>214.24</v>
      </c>
      <c r="F13" s="197">
        <f t="shared" si="12"/>
        <v>214.24</v>
      </c>
      <c r="G13" s="197">
        <f t="shared" si="12"/>
        <v>214.24</v>
      </c>
      <c r="H13" s="197">
        <f t="shared" si="12"/>
        <v>214.24</v>
      </c>
      <c r="I13" s="197">
        <f t="shared" si="12"/>
        <v>214.24</v>
      </c>
      <c r="J13" s="197">
        <f t="shared" si="12"/>
        <v>214.24</v>
      </c>
      <c r="K13" s="197">
        <f t="shared" si="12"/>
        <v>214.24</v>
      </c>
      <c r="L13" s="197">
        <f t="shared" si="12"/>
        <v>214.24</v>
      </c>
      <c r="M13" s="197">
        <f t="shared" si="12"/>
        <v>214.24</v>
      </c>
      <c r="N13" s="197">
        <f t="shared" si="12"/>
        <v>214.24</v>
      </c>
      <c r="O13" s="194"/>
      <c r="P13" s="197">
        <f t="shared" ref="P13:AA13" si="13">P11+P8</f>
        <v>247.2</v>
      </c>
      <c r="Q13" s="197">
        <f t="shared" si="13"/>
        <v>296.64</v>
      </c>
      <c r="R13" s="197">
        <f t="shared" si="13"/>
        <v>296.64</v>
      </c>
      <c r="S13" s="197">
        <f t="shared" si="13"/>
        <v>296.64</v>
      </c>
      <c r="T13" s="197">
        <f t="shared" si="13"/>
        <v>296.64</v>
      </c>
      <c r="U13" s="197">
        <f t="shared" si="13"/>
        <v>296.64</v>
      </c>
      <c r="V13" s="197">
        <f t="shared" si="13"/>
        <v>296.64</v>
      </c>
      <c r="W13" s="197">
        <f t="shared" si="13"/>
        <v>247.2</v>
      </c>
      <c r="X13" s="197">
        <f t="shared" si="13"/>
        <v>247.2</v>
      </c>
      <c r="Y13" s="197">
        <f t="shared" si="13"/>
        <v>247.2</v>
      </c>
      <c r="Z13" s="197">
        <f t="shared" si="13"/>
        <v>247.2</v>
      </c>
      <c r="AA13" s="197">
        <f t="shared" si="13"/>
        <v>247.2</v>
      </c>
      <c r="AB13" s="194"/>
      <c r="AC13" s="197">
        <f t="shared" ref="AC13:AN13" si="14">AC11+AC8</f>
        <v>247.2</v>
      </c>
      <c r="AD13" s="197">
        <f t="shared" si="14"/>
        <v>247.2</v>
      </c>
      <c r="AE13" s="197">
        <f t="shared" si="14"/>
        <v>247.2</v>
      </c>
      <c r="AF13" s="197">
        <f t="shared" si="14"/>
        <v>247.2</v>
      </c>
      <c r="AG13" s="197">
        <f t="shared" si="14"/>
        <v>247.2</v>
      </c>
      <c r="AH13" s="197">
        <f t="shared" si="14"/>
        <v>247.2</v>
      </c>
      <c r="AI13" s="197">
        <f t="shared" si="14"/>
        <v>247.2</v>
      </c>
      <c r="AJ13" s="197">
        <f t="shared" si="14"/>
        <v>247.2</v>
      </c>
      <c r="AK13" s="197">
        <f t="shared" si="14"/>
        <v>247.2</v>
      </c>
      <c r="AL13" s="197">
        <f t="shared" si="14"/>
        <v>247.2</v>
      </c>
      <c r="AM13" s="197">
        <f t="shared" si="14"/>
        <v>247.2</v>
      </c>
      <c r="AN13" s="197">
        <f t="shared" si="14"/>
        <v>247.2</v>
      </c>
      <c r="AO13" s="194"/>
    </row>
    <row r="14" spans="1:41" ht="12.75" customHeight="1">
      <c r="A14" s="181" t="s">
        <v>156</v>
      </c>
      <c r="B14" s="182"/>
      <c r="C14" s="183">
        <f t="shared" ref="C14:N14" si="15">(C4*C5*C6)+C12</f>
        <v>4499.04</v>
      </c>
      <c r="D14" s="183">
        <f t="shared" si="15"/>
        <v>4284.8</v>
      </c>
      <c r="E14" s="183">
        <f t="shared" si="15"/>
        <v>4927.5200000000004</v>
      </c>
      <c r="F14" s="183">
        <f t="shared" si="15"/>
        <v>4284.8</v>
      </c>
      <c r="G14" s="183">
        <f t="shared" si="15"/>
        <v>4713.28</v>
      </c>
      <c r="H14" s="183">
        <f t="shared" si="15"/>
        <v>4713.28</v>
      </c>
      <c r="I14" s="183">
        <f t="shared" si="15"/>
        <v>4284.8</v>
      </c>
      <c r="J14" s="183">
        <f t="shared" si="15"/>
        <v>4927.5200000000004</v>
      </c>
      <c r="K14" s="183">
        <f t="shared" si="15"/>
        <v>4284.8</v>
      </c>
      <c r="L14" s="183">
        <f t="shared" si="15"/>
        <v>4713.28</v>
      </c>
      <c r="M14" s="183">
        <f t="shared" si="15"/>
        <v>4284.8</v>
      </c>
      <c r="N14" s="183">
        <f t="shared" si="15"/>
        <v>3427.84</v>
      </c>
      <c r="O14" s="199">
        <f>SUM(C14:N14)</f>
        <v>53345.759999999995</v>
      </c>
      <c r="P14" s="183">
        <f t="shared" ref="P14:AA14" si="16">(P4*P5*P6)+P12</f>
        <v>5191.2</v>
      </c>
      <c r="Q14" s="183">
        <f t="shared" si="16"/>
        <v>5932.8</v>
      </c>
      <c r="R14" s="183">
        <f t="shared" si="16"/>
        <v>6822.72</v>
      </c>
      <c r="S14" s="183">
        <f t="shared" si="16"/>
        <v>5932.8</v>
      </c>
      <c r="T14" s="183">
        <f t="shared" si="16"/>
        <v>6526.08</v>
      </c>
      <c r="U14" s="183">
        <f t="shared" si="16"/>
        <v>6526.08</v>
      </c>
      <c r="V14" s="183">
        <f t="shared" si="16"/>
        <v>5932.8</v>
      </c>
      <c r="W14" s="183">
        <f t="shared" si="16"/>
        <v>5685.6</v>
      </c>
      <c r="X14" s="183">
        <f t="shared" si="16"/>
        <v>4944</v>
      </c>
      <c r="Y14" s="183">
        <f t="shared" si="16"/>
        <v>5438.4</v>
      </c>
      <c r="Z14" s="183">
        <f t="shared" si="16"/>
        <v>4944</v>
      </c>
      <c r="AA14" s="183">
        <f t="shared" si="16"/>
        <v>3955.2</v>
      </c>
      <c r="AB14" s="199">
        <f>SUM(P14:AA14)</f>
        <v>67831.680000000008</v>
      </c>
      <c r="AC14" s="183">
        <f t="shared" ref="AC14:AN14" si="17">(AC4*AC5*AC6)+AC12</f>
        <v>5191.2</v>
      </c>
      <c r="AD14" s="183">
        <f t="shared" si="17"/>
        <v>4944</v>
      </c>
      <c r="AE14" s="183">
        <f t="shared" si="17"/>
        <v>5685.6</v>
      </c>
      <c r="AF14" s="183">
        <f t="shared" si="17"/>
        <v>4944</v>
      </c>
      <c r="AG14" s="183">
        <f t="shared" si="17"/>
        <v>5438.4</v>
      </c>
      <c r="AH14" s="183">
        <f t="shared" si="17"/>
        <v>5438.4</v>
      </c>
      <c r="AI14" s="183">
        <f t="shared" si="17"/>
        <v>4944</v>
      </c>
      <c r="AJ14" s="183">
        <f t="shared" si="17"/>
        <v>5685.6</v>
      </c>
      <c r="AK14" s="183">
        <f t="shared" si="17"/>
        <v>4944</v>
      </c>
      <c r="AL14" s="183">
        <f t="shared" si="17"/>
        <v>5438.4</v>
      </c>
      <c r="AM14" s="183">
        <f t="shared" si="17"/>
        <v>4944</v>
      </c>
      <c r="AN14" s="183">
        <f t="shared" si="17"/>
        <v>3955.2</v>
      </c>
      <c r="AO14" s="199">
        <f>SUM(AC14:AN14)</f>
        <v>61552.800000000003</v>
      </c>
    </row>
    <row r="15" spans="1:41" ht="12.75" customHeight="1">
      <c r="A15" s="170" t="s">
        <v>157</v>
      </c>
      <c r="B15" s="200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190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190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190"/>
    </row>
    <row r="16" spans="1:41" ht="12.75" customHeight="1">
      <c r="A16" s="181" t="s">
        <v>158</v>
      </c>
      <c r="B16" s="182"/>
      <c r="C16" s="183">
        <f>(Controls!$E$12*C4*C6)+(C12)</f>
        <v>4335.2400000000007</v>
      </c>
      <c r="D16" s="183">
        <f>(Controls!$E$12*D4*D6)+(D12)</f>
        <v>4128.8</v>
      </c>
      <c r="E16" s="183">
        <f>(Controls!$E$12*E4*E6)+(E12)</f>
        <v>4748.1200000000008</v>
      </c>
      <c r="F16" s="183">
        <f>(Controls!$E$12*F4*F6)+(F12)</f>
        <v>4128.8</v>
      </c>
      <c r="G16" s="183">
        <f>(Controls!$E$12*G4*G6)+(G12)</f>
        <v>4541.68</v>
      </c>
      <c r="H16" s="183">
        <f>(Controls!$E$12*H4*H6)+(H12)</f>
        <v>4541.68</v>
      </c>
      <c r="I16" s="183">
        <f>(Controls!$E$12*I4*I6)+(I12)</f>
        <v>4128.8</v>
      </c>
      <c r="J16" s="183">
        <f>(Controls!$E$12*J4*J6)+(J12)</f>
        <v>4748.1200000000008</v>
      </c>
      <c r="K16" s="183">
        <f>(Controls!$E$12*K4*K6)+(K12)</f>
        <v>4128.8</v>
      </c>
      <c r="L16" s="183">
        <f>(Controls!$E$12*L4*L6)+(L12)</f>
        <v>4541.68</v>
      </c>
      <c r="M16" s="183">
        <f>(Controls!$E$12*M4*M6)+(M12)</f>
        <v>4128.8</v>
      </c>
      <c r="N16" s="183">
        <f>(Controls!$E$12*N4*N6)+(N12)</f>
        <v>3303.0400000000004</v>
      </c>
      <c r="O16" s="199">
        <f>SUM(C16:N16)</f>
        <v>51403.560000000012</v>
      </c>
      <c r="P16" s="183">
        <f>(Controls!$E$12*P4*P6)+(P12)</f>
        <v>5002.2</v>
      </c>
      <c r="Q16" s="183">
        <f>(Controls!$E$12*Q4*Q6)+(Q12)</f>
        <v>5716.8</v>
      </c>
      <c r="R16" s="183">
        <f>(Controls!$E$12*R4*R6)+(R12)</f>
        <v>6574.32</v>
      </c>
      <c r="S16" s="183">
        <f>(Controls!$E$12*S4*S6)+(S12)</f>
        <v>5716.8</v>
      </c>
      <c r="T16" s="183">
        <f>(Controls!$E$12*T4*T6)+(T12)</f>
        <v>6288.48</v>
      </c>
      <c r="U16" s="183">
        <f>(Controls!$E$12*U4*U6)+(U12)</f>
        <v>6288.48</v>
      </c>
      <c r="V16" s="183">
        <f>(Controls!$E$12*V4*V6)+(V12)</f>
        <v>5716.8</v>
      </c>
      <c r="W16" s="183">
        <f>(Controls!$E$12*W4*W6)+(W12)</f>
        <v>5478.6</v>
      </c>
      <c r="X16" s="183">
        <f>(Controls!$E$12*X4*X6)+(X12)</f>
        <v>4764</v>
      </c>
      <c r="Y16" s="183">
        <f>(Controls!$E$12*Y4*Y6)+(Y12)</f>
        <v>5240.3999999999996</v>
      </c>
      <c r="Z16" s="183">
        <f>(Controls!$E$12*Z4*Z6)+(Z12)</f>
        <v>4764</v>
      </c>
      <c r="AA16" s="183">
        <f>(Controls!$E$12*AA4*AA6)+(AA12)</f>
        <v>3811.2</v>
      </c>
      <c r="AB16" s="199">
        <f>SUM(P16:AA16)</f>
        <v>65362.080000000002</v>
      </c>
      <c r="AC16" s="183">
        <f>(Controls!$E$12*AC4*AC6)+(AC12)</f>
        <v>5002.2</v>
      </c>
      <c r="AD16" s="183">
        <f>(Controls!$E$12*AD4*AD6)+(AD12)</f>
        <v>4764</v>
      </c>
      <c r="AE16" s="183">
        <f>(Controls!$E$12*AE4*AE6)+(AE12)</f>
        <v>5478.6</v>
      </c>
      <c r="AF16" s="183">
        <f>(Controls!$E$12*AF4*AF6)+(AF12)</f>
        <v>4764</v>
      </c>
      <c r="AG16" s="183">
        <f>(Controls!$E$12*AG4*AG6)+(AG12)</f>
        <v>5240.3999999999996</v>
      </c>
      <c r="AH16" s="183">
        <f>(Controls!$E$12*AH4*AH6)+(AH12)</f>
        <v>5240.3999999999996</v>
      </c>
      <c r="AI16" s="183">
        <f>(Controls!$E$12*AI4*AI6)+(AI12)</f>
        <v>4764</v>
      </c>
      <c r="AJ16" s="183">
        <f>(Controls!$E$12*AJ4*AJ6)+(AJ12)</f>
        <v>5478.6</v>
      </c>
      <c r="AK16" s="183">
        <f>(Controls!$E$12*AK4*AK6)+(AK12)</f>
        <v>4764</v>
      </c>
      <c r="AL16" s="183">
        <f>(Controls!$E$12*AL4*AL6)+(AL12)</f>
        <v>5240.3999999999996</v>
      </c>
      <c r="AM16" s="183">
        <f>(Controls!$E$12*AM4*AM6)+(AM12)</f>
        <v>4764</v>
      </c>
      <c r="AN16" s="183">
        <f>(Controls!$E$12*AN4*AN6)+(AN12)</f>
        <v>3811.2</v>
      </c>
      <c r="AO16" s="199">
        <f>SUM(AC16:AN16)</f>
        <v>59311.8</v>
      </c>
    </row>
    <row r="17" spans="1:41" ht="12.75" customHeight="1">
      <c r="A17" s="167" t="s">
        <v>159</v>
      </c>
      <c r="B17" s="174"/>
      <c r="C17" s="202">
        <v>0.8</v>
      </c>
      <c r="D17" s="202">
        <v>0.8</v>
      </c>
      <c r="E17" s="202">
        <v>0.8</v>
      </c>
      <c r="F17" s="202">
        <v>0.8</v>
      </c>
      <c r="G17" s="202">
        <v>0.8</v>
      </c>
      <c r="H17" s="202">
        <v>0.8</v>
      </c>
      <c r="I17" s="202">
        <v>0.8</v>
      </c>
      <c r="J17" s="202">
        <v>0.8</v>
      </c>
      <c r="K17" s="202">
        <v>0.8</v>
      </c>
      <c r="L17" s="202">
        <v>0.8</v>
      </c>
      <c r="M17" s="202">
        <v>0.8</v>
      </c>
      <c r="N17" s="202">
        <v>0.8</v>
      </c>
      <c r="O17" s="203">
        <f>AVERAGE(C17:N17)</f>
        <v>0.79999999999999993</v>
      </c>
      <c r="P17" s="202">
        <v>0.8</v>
      </c>
      <c r="Q17" s="202">
        <v>0.8</v>
      </c>
      <c r="R17" s="202">
        <v>0.8</v>
      </c>
      <c r="S17" s="202">
        <v>0.8</v>
      </c>
      <c r="T17" s="202">
        <v>0.8</v>
      </c>
      <c r="U17" s="202">
        <v>0.8</v>
      </c>
      <c r="V17" s="202">
        <v>0.8</v>
      </c>
      <c r="W17" s="202">
        <v>0.8</v>
      </c>
      <c r="X17" s="202">
        <v>0.8</v>
      </c>
      <c r="Y17" s="202">
        <v>0.8</v>
      </c>
      <c r="Z17" s="202">
        <v>0.8</v>
      </c>
      <c r="AA17" s="202">
        <v>0.8</v>
      </c>
      <c r="AB17" s="203">
        <f>AVERAGE(P17:AA17)</f>
        <v>0.79999999999999993</v>
      </c>
      <c r="AC17" s="202">
        <v>0.8</v>
      </c>
      <c r="AD17" s="202">
        <v>0.8</v>
      </c>
      <c r="AE17" s="202">
        <v>0.8</v>
      </c>
      <c r="AF17" s="202">
        <v>0.8</v>
      </c>
      <c r="AG17" s="202">
        <v>0.8</v>
      </c>
      <c r="AH17" s="202">
        <v>0.8</v>
      </c>
      <c r="AI17" s="202">
        <v>0.8</v>
      </c>
      <c r="AJ17" s="202">
        <v>0.8</v>
      </c>
      <c r="AK17" s="202">
        <v>0.8</v>
      </c>
      <c r="AL17" s="202">
        <v>0.8</v>
      </c>
      <c r="AM17" s="202">
        <v>0.8</v>
      </c>
      <c r="AN17" s="202">
        <v>0.8</v>
      </c>
      <c r="AO17" s="203">
        <f>AVERAGE(AC17:AN17)</f>
        <v>0.79999999999999993</v>
      </c>
    </row>
    <row r="18" spans="1:41" ht="12.75" customHeight="1">
      <c r="A18" s="167" t="s">
        <v>160</v>
      </c>
      <c r="B18" s="174"/>
      <c r="C18" s="204">
        <f t="shared" ref="C18:N18" si="18">C4*C17</f>
        <v>20.8</v>
      </c>
      <c r="D18" s="204">
        <f t="shared" si="18"/>
        <v>20.8</v>
      </c>
      <c r="E18" s="204">
        <f t="shared" si="18"/>
        <v>20.8</v>
      </c>
      <c r="F18" s="204">
        <f t="shared" si="18"/>
        <v>20.8</v>
      </c>
      <c r="G18" s="204">
        <f t="shared" si="18"/>
        <v>20.8</v>
      </c>
      <c r="H18" s="204">
        <f t="shared" si="18"/>
        <v>20.8</v>
      </c>
      <c r="I18" s="204">
        <f t="shared" si="18"/>
        <v>20.8</v>
      </c>
      <c r="J18" s="204">
        <f t="shared" si="18"/>
        <v>20.8</v>
      </c>
      <c r="K18" s="204">
        <f t="shared" si="18"/>
        <v>20.8</v>
      </c>
      <c r="L18" s="204">
        <f t="shared" si="18"/>
        <v>20.8</v>
      </c>
      <c r="M18" s="204">
        <f t="shared" si="18"/>
        <v>20.8</v>
      </c>
      <c r="N18" s="204">
        <f t="shared" si="18"/>
        <v>20.8</v>
      </c>
      <c r="O18" s="177">
        <f>AVERAGE(C18:N18)</f>
        <v>20.800000000000004</v>
      </c>
      <c r="P18" s="204">
        <f t="shared" ref="P18:AA18" si="19">P4*P17</f>
        <v>24</v>
      </c>
      <c r="Q18" s="204">
        <f t="shared" si="19"/>
        <v>28.8</v>
      </c>
      <c r="R18" s="204">
        <f t="shared" si="19"/>
        <v>28.8</v>
      </c>
      <c r="S18" s="204">
        <f t="shared" si="19"/>
        <v>28.8</v>
      </c>
      <c r="T18" s="204">
        <f t="shared" si="19"/>
        <v>28.8</v>
      </c>
      <c r="U18" s="204">
        <f t="shared" si="19"/>
        <v>28.8</v>
      </c>
      <c r="V18" s="204">
        <f t="shared" si="19"/>
        <v>28.8</v>
      </c>
      <c r="W18" s="204">
        <f t="shared" si="19"/>
        <v>24</v>
      </c>
      <c r="X18" s="204">
        <f t="shared" si="19"/>
        <v>24</v>
      </c>
      <c r="Y18" s="204">
        <f t="shared" si="19"/>
        <v>24</v>
      </c>
      <c r="Z18" s="204">
        <f t="shared" si="19"/>
        <v>24</v>
      </c>
      <c r="AA18" s="204">
        <f t="shared" si="19"/>
        <v>24</v>
      </c>
      <c r="AB18" s="177">
        <f>AVERAGE(P18:AA18)</f>
        <v>26.400000000000002</v>
      </c>
      <c r="AC18" s="204">
        <f t="shared" ref="AC18:AN18" si="20">AC4*AC17</f>
        <v>24</v>
      </c>
      <c r="AD18" s="204">
        <f t="shared" si="20"/>
        <v>24</v>
      </c>
      <c r="AE18" s="204">
        <f t="shared" si="20"/>
        <v>24</v>
      </c>
      <c r="AF18" s="204">
        <f t="shared" si="20"/>
        <v>24</v>
      </c>
      <c r="AG18" s="204">
        <f t="shared" si="20"/>
        <v>24</v>
      </c>
      <c r="AH18" s="204">
        <f t="shared" si="20"/>
        <v>24</v>
      </c>
      <c r="AI18" s="204">
        <f t="shared" si="20"/>
        <v>24</v>
      </c>
      <c r="AJ18" s="204">
        <f t="shared" si="20"/>
        <v>24</v>
      </c>
      <c r="AK18" s="204">
        <f t="shared" si="20"/>
        <v>24</v>
      </c>
      <c r="AL18" s="204">
        <f t="shared" si="20"/>
        <v>24</v>
      </c>
      <c r="AM18" s="204">
        <f t="shared" si="20"/>
        <v>24</v>
      </c>
      <c r="AN18" s="204">
        <f t="shared" si="20"/>
        <v>24</v>
      </c>
      <c r="AO18" s="177">
        <f>AVERAGE(AC18:AN18)</f>
        <v>24</v>
      </c>
    </row>
    <row r="19" spans="1:41" ht="12.75" customHeight="1">
      <c r="A19" s="205" t="s">
        <v>161</v>
      </c>
      <c r="B19" s="206">
        <v>-8</v>
      </c>
      <c r="C19" s="193">
        <f t="shared" ref="C19:N19" si="21">$B$19*C4</f>
        <v>-208</v>
      </c>
      <c r="D19" s="193">
        <f t="shared" si="21"/>
        <v>-208</v>
      </c>
      <c r="E19" s="193">
        <f t="shared" si="21"/>
        <v>-208</v>
      </c>
      <c r="F19" s="193">
        <f t="shared" si="21"/>
        <v>-208</v>
      </c>
      <c r="G19" s="193">
        <f t="shared" si="21"/>
        <v>-208</v>
      </c>
      <c r="H19" s="193">
        <f t="shared" si="21"/>
        <v>-208</v>
      </c>
      <c r="I19" s="193">
        <f t="shared" si="21"/>
        <v>-208</v>
      </c>
      <c r="J19" s="193">
        <f t="shared" si="21"/>
        <v>-208</v>
      </c>
      <c r="K19" s="193">
        <f t="shared" si="21"/>
        <v>-208</v>
      </c>
      <c r="L19" s="193">
        <f t="shared" si="21"/>
        <v>-208</v>
      </c>
      <c r="M19" s="193">
        <f t="shared" si="21"/>
        <v>-208</v>
      </c>
      <c r="N19" s="193">
        <f t="shared" si="21"/>
        <v>-208</v>
      </c>
      <c r="O19" s="207">
        <f>SUM(C19:N19)</f>
        <v>-2496</v>
      </c>
      <c r="P19" s="193">
        <f t="shared" ref="P19:AA19" si="22">$B$19*P4</f>
        <v>-240</v>
      </c>
      <c r="Q19" s="193">
        <f t="shared" si="22"/>
        <v>-288</v>
      </c>
      <c r="R19" s="193">
        <f t="shared" si="22"/>
        <v>-288</v>
      </c>
      <c r="S19" s="193">
        <f t="shared" si="22"/>
        <v>-288</v>
      </c>
      <c r="T19" s="193">
        <f t="shared" si="22"/>
        <v>-288</v>
      </c>
      <c r="U19" s="193">
        <f t="shared" si="22"/>
        <v>-288</v>
      </c>
      <c r="V19" s="193">
        <f t="shared" si="22"/>
        <v>-288</v>
      </c>
      <c r="W19" s="193">
        <f t="shared" si="22"/>
        <v>-240</v>
      </c>
      <c r="X19" s="193">
        <f t="shared" si="22"/>
        <v>-240</v>
      </c>
      <c r="Y19" s="193">
        <f t="shared" si="22"/>
        <v>-240</v>
      </c>
      <c r="Z19" s="193">
        <f t="shared" si="22"/>
        <v>-240</v>
      </c>
      <c r="AA19" s="193">
        <f t="shared" si="22"/>
        <v>-240</v>
      </c>
      <c r="AB19" s="207">
        <f>SUM(P19:AA19)</f>
        <v>-3168</v>
      </c>
      <c r="AC19" s="193">
        <f t="shared" ref="AC19:AN19" si="23">$B$19*AC4</f>
        <v>-240</v>
      </c>
      <c r="AD19" s="193">
        <f t="shared" si="23"/>
        <v>-240</v>
      </c>
      <c r="AE19" s="193">
        <f t="shared" si="23"/>
        <v>-240</v>
      </c>
      <c r="AF19" s="193">
        <f t="shared" si="23"/>
        <v>-240</v>
      </c>
      <c r="AG19" s="193">
        <f t="shared" si="23"/>
        <v>-240</v>
      </c>
      <c r="AH19" s="193">
        <f t="shared" si="23"/>
        <v>-240</v>
      </c>
      <c r="AI19" s="193">
        <f t="shared" si="23"/>
        <v>-240</v>
      </c>
      <c r="AJ19" s="193">
        <f t="shared" si="23"/>
        <v>-240</v>
      </c>
      <c r="AK19" s="193">
        <f t="shared" si="23"/>
        <v>-240</v>
      </c>
      <c r="AL19" s="193">
        <f t="shared" si="23"/>
        <v>-240</v>
      </c>
      <c r="AM19" s="193">
        <f t="shared" si="23"/>
        <v>-240</v>
      </c>
      <c r="AN19" s="193">
        <f t="shared" si="23"/>
        <v>-240</v>
      </c>
      <c r="AO19" s="207">
        <f>SUM(AC19:AN19)</f>
        <v>-2880</v>
      </c>
    </row>
    <row r="20" spans="1:41" ht="12.75" customHeight="1">
      <c r="A20" s="181" t="s">
        <v>162</v>
      </c>
      <c r="B20" s="182"/>
      <c r="C20" s="208">
        <f t="shared" ref="C20:N20" si="24">(C16*C17)+C19</f>
        <v>3260.1920000000009</v>
      </c>
      <c r="D20" s="208">
        <f t="shared" si="24"/>
        <v>3095.0400000000004</v>
      </c>
      <c r="E20" s="208">
        <f t="shared" si="24"/>
        <v>3590.496000000001</v>
      </c>
      <c r="F20" s="208">
        <f t="shared" si="24"/>
        <v>3095.0400000000004</v>
      </c>
      <c r="G20" s="208">
        <f t="shared" si="24"/>
        <v>3425.3440000000005</v>
      </c>
      <c r="H20" s="208">
        <f t="shared" si="24"/>
        <v>3425.3440000000005</v>
      </c>
      <c r="I20" s="208">
        <f t="shared" si="24"/>
        <v>3095.0400000000004</v>
      </c>
      <c r="J20" s="208">
        <f t="shared" si="24"/>
        <v>3590.496000000001</v>
      </c>
      <c r="K20" s="208">
        <f t="shared" si="24"/>
        <v>3095.0400000000004</v>
      </c>
      <c r="L20" s="208">
        <f t="shared" si="24"/>
        <v>3425.3440000000005</v>
      </c>
      <c r="M20" s="208">
        <f t="shared" si="24"/>
        <v>3095.0400000000004</v>
      </c>
      <c r="N20" s="208">
        <f t="shared" si="24"/>
        <v>2434.4320000000007</v>
      </c>
      <c r="O20" s="199">
        <f>SUM(C20:N20)</f>
        <v>38626.848000000005</v>
      </c>
      <c r="P20" s="208">
        <f t="shared" ref="P20:AA20" si="25">(P16*P17)+P19</f>
        <v>3761.76</v>
      </c>
      <c r="Q20" s="208">
        <f t="shared" si="25"/>
        <v>4285.4400000000005</v>
      </c>
      <c r="R20" s="208">
        <f t="shared" si="25"/>
        <v>4971.4560000000001</v>
      </c>
      <c r="S20" s="208">
        <f t="shared" si="25"/>
        <v>4285.4400000000005</v>
      </c>
      <c r="T20" s="208">
        <f t="shared" si="25"/>
        <v>4742.7839999999997</v>
      </c>
      <c r="U20" s="208">
        <f t="shared" si="25"/>
        <v>4742.7839999999997</v>
      </c>
      <c r="V20" s="208">
        <f t="shared" si="25"/>
        <v>4285.4400000000005</v>
      </c>
      <c r="W20" s="208">
        <f t="shared" si="25"/>
        <v>4142.88</v>
      </c>
      <c r="X20" s="208">
        <f t="shared" si="25"/>
        <v>3571.2000000000003</v>
      </c>
      <c r="Y20" s="208">
        <f t="shared" si="25"/>
        <v>3952.3199999999997</v>
      </c>
      <c r="Z20" s="208">
        <f t="shared" si="25"/>
        <v>3571.2000000000003</v>
      </c>
      <c r="AA20" s="208">
        <f t="shared" si="25"/>
        <v>2808.96</v>
      </c>
      <c r="AB20" s="199">
        <f>SUM(P20:AA20)</f>
        <v>49121.66399999999</v>
      </c>
      <c r="AC20" s="208">
        <f t="shared" ref="AC20:AN20" si="26">(AC16*AC17)+AC19</f>
        <v>3761.76</v>
      </c>
      <c r="AD20" s="208">
        <f t="shared" si="26"/>
        <v>3571.2000000000003</v>
      </c>
      <c r="AE20" s="208">
        <f t="shared" si="26"/>
        <v>4142.88</v>
      </c>
      <c r="AF20" s="208">
        <f t="shared" si="26"/>
        <v>3571.2000000000003</v>
      </c>
      <c r="AG20" s="208">
        <f t="shared" si="26"/>
        <v>3952.3199999999997</v>
      </c>
      <c r="AH20" s="208">
        <f t="shared" si="26"/>
        <v>3952.3199999999997</v>
      </c>
      <c r="AI20" s="208">
        <f t="shared" si="26"/>
        <v>3571.2000000000003</v>
      </c>
      <c r="AJ20" s="208">
        <f t="shared" si="26"/>
        <v>4142.88</v>
      </c>
      <c r="AK20" s="208">
        <f t="shared" si="26"/>
        <v>3571.2000000000003</v>
      </c>
      <c r="AL20" s="208">
        <f t="shared" si="26"/>
        <v>3952.3199999999997</v>
      </c>
      <c r="AM20" s="208">
        <f t="shared" si="26"/>
        <v>3571.2000000000003</v>
      </c>
      <c r="AN20" s="208">
        <f t="shared" si="26"/>
        <v>2808.96</v>
      </c>
      <c r="AO20" s="199">
        <f>SUM(AC20:AN20)</f>
        <v>44569.439999999995</v>
      </c>
    </row>
    <row r="21" spans="1:41" ht="12.75" customHeight="1">
      <c r="A21" s="209"/>
      <c r="B21" s="210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2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2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2"/>
    </row>
    <row r="22" spans="1:41" ht="12.75" customHeight="1">
      <c r="A22" s="213" t="s">
        <v>163</v>
      </c>
      <c r="B22" s="182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99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214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214"/>
    </row>
    <row r="23" spans="1:41" ht="12.75" customHeight="1">
      <c r="A23" s="167" t="s">
        <v>164</v>
      </c>
      <c r="B23" s="185"/>
      <c r="C23" s="215">
        <f>$B$7*C4*C5</f>
        <v>-11232</v>
      </c>
      <c r="D23" s="215">
        <v>0</v>
      </c>
      <c r="E23" s="215">
        <v>0</v>
      </c>
      <c r="F23" s="215">
        <v>0</v>
      </c>
      <c r="G23" s="215">
        <f>$B$7*G4*G5</f>
        <v>-11232</v>
      </c>
      <c r="H23" s="215">
        <v>0</v>
      </c>
      <c r="I23" s="215">
        <f>$B$7*I4*I5</f>
        <v>-11232</v>
      </c>
      <c r="J23" s="215">
        <v>0</v>
      </c>
      <c r="K23" s="215">
        <v>0</v>
      </c>
      <c r="L23" s="215">
        <v>0</v>
      </c>
      <c r="M23" s="215">
        <f>$B$7*M4*M5</f>
        <v>-11232</v>
      </c>
      <c r="N23" s="215">
        <f>$B$7*N4*N5</f>
        <v>-11232</v>
      </c>
      <c r="O23" s="216">
        <v>0</v>
      </c>
      <c r="P23" s="215">
        <f>$B$7*P4*P5</f>
        <v>-12960</v>
      </c>
      <c r="Q23" s="215">
        <v>0</v>
      </c>
      <c r="R23" s="215">
        <v>0</v>
      </c>
      <c r="S23" s="215">
        <v>0</v>
      </c>
      <c r="T23" s="215">
        <f>$B$7*T4*T5</f>
        <v>-15552</v>
      </c>
      <c r="U23" s="215">
        <v>0</v>
      </c>
      <c r="V23" s="215">
        <f>$B$7*V4*V5</f>
        <v>-15552</v>
      </c>
      <c r="W23" s="215">
        <v>0</v>
      </c>
      <c r="X23" s="215">
        <v>0</v>
      </c>
      <c r="Y23" s="215">
        <v>0</v>
      </c>
      <c r="Z23" s="215">
        <f>$B$7*Z4*Z5</f>
        <v>-12960</v>
      </c>
      <c r="AA23" s="215">
        <f>$B$7*AA4*AA5</f>
        <v>-12960</v>
      </c>
      <c r="AB23" s="216">
        <v>0</v>
      </c>
      <c r="AC23" s="215">
        <f>$B$7*AC4*AC5</f>
        <v>-12960</v>
      </c>
      <c r="AD23" s="215">
        <v>0</v>
      </c>
      <c r="AE23" s="215">
        <v>0</v>
      </c>
      <c r="AF23" s="215">
        <v>0</v>
      </c>
      <c r="AG23" s="215">
        <f>$B$7*AG4*AG5</f>
        <v>-12960</v>
      </c>
      <c r="AH23" s="215">
        <v>0</v>
      </c>
      <c r="AI23" s="215">
        <f>$B$7*AI4*AI5</f>
        <v>-12960</v>
      </c>
      <c r="AJ23" s="215">
        <v>0</v>
      </c>
      <c r="AK23" s="215">
        <v>0</v>
      </c>
      <c r="AL23" s="215">
        <v>0</v>
      </c>
      <c r="AM23" s="215">
        <f>$B$7*AM4*AM5</f>
        <v>-12960</v>
      </c>
      <c r="AN23" s="215">
        <f>$B$7*AN4*AN5</f>
        <v>-12960</v>
      </c>
      <c r="AO23" s="216">
        <v>0</v>
      </c>
    </row>
    <row r="24" spans="1:41" ht="12.75" customHeight="1">
      <c r="A24" s="181" t="s">
        <v>165</v>
      </c>
      <c r="B24" s="180">
        <f>Controls!D59</f>
        <v>-54</v>
      </c>
      <c r="C24" s="159">
        <f t="shared" ref="C24:N24" si="27">$B$24*C8</f>
        <v>-11232</v>
      </c>
      <c r="D24" s="159">
        <f t="shared" si="27"/>
        <v>-11232</v>
      </c>
      <c r="E24" s="159">
        <f t="shared" si="27"/>
        <v>-11232</v>
      </c>
      <c r="F24" s="159">
        <f t="shared" si="27"/>
        <v>-11232</v>
      </c>
      <c r="G24" s="159">
        <f t="shared" si="27"/>
        <v>-11232</v>
      </c>
      <c r="H24" s="159">
        <f t="shared" si="27"/>
        <v>-11232</v>
      </c>
      <c r="I24" s="159">
        <f t="shared" si="27"/>
        <v>-11232</v>
      </c>
      <c r="J24" s="159">
        <f t="shared" si="27"/>
        <v>-11232</v>
      </c>
      <c r="K24" s="159">
        <f t="shared" si="27"/>
        <v>-11232</v>
      </c>
      <c r="L24" s="159">
        <f t="shared" si="27"/>
        <v>-11232</v>
      </c>
      <c r="M24" s="159">
        <f t="shared" si="27"/>
        <v>-11232</v>
      </c>
      <c r="N24" s="159">
        <f t="shared" si="27"/>
        <v>-11232</v>
      </c>
      <c r="O24" s="216">
        <f t="shared" ref="O24:O34" si="28">SUM(C24:N24)</f>
        <v>-134784</v>
      </c>
      <c r="P24" s="159">
        <f t="shared" ref="P24:AA24" si="29">$B$24*P8</f>
        <v>-12960</v>
      </c>
      <c r="Q24" s="159">
        <f t="shared" si="29"/>
        <v>-15552</v>
      </c>
      <c r="R24" s="159">
        <f t="shared" si="29"/>
        <v>-15552</v>
      </c>
      <c r="S24" s="159">
        <f t="shared" si="29"/>
        <v>-15552</v>
      </c>
      <c r="T24" s="159">
        <f t="shared" si="29"/>
        <v>-15552</v>
      </c>
      <c r="U24" s="159">
        <f t="shared" si="29"/>
        <v>-15552</v>
      </c>
      <c r="V24" s="159">
        <f t="shared" si="29"/>
        <v>-15552</v>
      </c>
      <c r="W24" s="159">
        <f t="shared" si="29"/>
        <v>-12960</v>
      </c>
      <c r="X24" s="159">
        <f t="shared" si="29"/>
        <v>-12960</v>
      </c>
      <c r="Y24" s="159">
        <f t="shared" si="29"/>
        <v>-12960</v>
      </c>
      <c r="Z24" s="159">
        <f t="shared" si="29"/>
        <v>-12960</v>
      </c>
      <c r="AA24" s="159">
        <f t="shared" si="29"/>
        <v>-12960</v>
      </c>
      <c r="AB24" s="216">
        <f t="shared" ref="AB24:AB34" si="30">SUM(P24:AA24)</f>
        <v>-171072</v>
      </c>
      <c r="AC24" s="159">
        <f t="shared" ref="AC24:AN24" si="31">$B$24*AC8</f>
        <v>-12960</v>
      </c>
      <c r="AD24" s="159">
        <f t="shared" si="31"/>
        <v>-12960</v>
      </c>
      <c r="AE24" s="159">
        <f t="shared" si="31"/>
        <v>-12960</v>
      </c>
      <c r="AF24" s="159">
        <f t="shared" si="31"/>
        <v>-12960</v>
      </c>
      <c r="AG24" s="159">
        <f t="shared" si="31"/>
        <v>-12960</v>
      </c>
      <c r="AH24" s="159">
        <f t="shared" si="31"/>
        <v>-12960</v>
      </c>
      <c r="AI24" s="159">
        <f t="shared" si="31"/>
        <v>-12960</v>
      </c>
      <c r="AJ24" s="159">
        <f t="shared" si="31"/>
        <v>-12960</v>
      </c>
      <c r="AK24" s="159">
        <f t="shared" si="31"/>
        <v>-12960</v>
      </c>
      <c r="AL24" s="159">
        <f t="shared" si="31"/>
        <v>-12960</v>
      </c>
      <c r="AM24" s="159">
        <f t="shared" si="31"/>
        <v>-12960</v>
      </c>
      <c r="AN24" s="159">
        <f t="shared" si="31"/>
        <v>-12960</v>
      </c>
      <c r="AO24" s="216">
        <f t="shared" ref="AO24:AO34" si="32">SUM(AC24:AN24)</f>
        <v>-155520</v>
      </c>
    </row>
    <row r="25" spans="1:41" ht="12.75" customHeight="1">
      <c r="A25" s="181" t="s">
        <v>166</v>
      </c>
      <c r="B25" s="180">
        <f>B24*1.5</f>
        <v>-81</v>
      </c>
      <c r="C25" s="159">
        <f t="shared" ref="C25:N25" si="33">$B$25*C11</f>
        <v>-505.44</v>
      </c>
      <c r="D25" s="159">
        <f t="shared" si="33"/>
        <v>-505.44</v>
      </c>
      <c r="E25" s="159">
        <f t="shared" si="33"/>
        <v>-505.44</v>
      </c>
      <c r="F25" s="159">
        <f t="shared" si="33"/>
        <v>-505.44</v>
      </c>
      <c r="G25" s="159">
        <f t="shared" si="33"/>
        <v>-505.44</v>
      </c>
      <c r="H25" s="159">
        <f t="shared" si="33"/>
        <v>-505.44</v>
      </c>
      <c r="I25" s="159">
        <f t="shared" si="33"/>
        <v>-505.44</v>
      </c>
      <c r="J25" s="159">
        <f t="shared" si="33"/>
        <v>-505.44</v>
      </c>
      <c r="K25" s="159">
        <f t="shared" si="33"/>
        <v>-505.44</v>
      </c>
      <c r="L25" s="159">
        <f t="shared" si="33"/>
        <v>-505.44</v>
      </c>
      <c r="M25" s="159">
        <f t="shared" si="33"/>
        <v>-505.44</v>
      </c>
      <c r="N25" s="159">
        <f t="shared" si="33"/>
        <v>-505.44</v>
      </c>
      <c r="O25" s="217">
        <f t="shared" si="28"/>
        <v>-6065.2799999999988</v>
      </c>
      <c r="P25" s="159">
        <f t="shared" ref="P25:AA25" si="34">$B$25*P11</f>
        <v>-583.19999999999993</v>
      </c>
      <c r="Q25" s="159">
        <f t="shared" si="34"/>
        <v>-699.84</v>
      </c>
      <c r="R25" s="159">
        <f t="shared" si="34"/>
        <v>-699.84</v>
      </c>
      <c r="S25" s="159">
        <f t="shared" si="34"/>
        <v>-699.84</v>
      </c>
      <c r="T25" s="159">
        <f t="shared" si="34"/>
        <v>-699.84</v>
      </c>
      <c r="U25" s="159">
        <f t="shared" si="34"/>
        <v>-699.84</v>
      </c>
      <c r="V25" s="159">
        <f t="shared" si="34"/>
        <v>-699.84</v>
      </c>
      <c r="W25" s="159">
        <f t="shared" si="34"/>
        <v>-583.19999999999993</v>
      </c>
      <c r="X25" s="159">
        <f t="shared" si="34"/>
        <v>-583.19999999999993</v>
      </c>
      <c r="Y25" s="159">
        <f t="shared" si="34"/>
        <v>-583.19999999999993</v>
      </c>
      <c r="Z25" s="159">
        <f t="shared" si="34"/>
        <v>-583.19999999999993</v>
      </c>
      <c r="AA25" s="159">
        <f t="shared" si="34"/>
        <v>-583.19999999999993</v>
      </c>
      <c r="AB25" s="217">
        <f t="shared" si="30"/>
        <v>-7698.24</v>
      </c>
      <c r="AC25" s="159">
        <f t="shared" ref="AC25:AN25" si="35">$B$25*AC11</f>
        <v>-583.19999999999993</v>
      </c>
      <c r="AD25" s="159">
        <f t="shared" si="35"/>
        <v>-583.19999999999993</v>
      </c>
      <c r="AE25" s="159">
        <f t="shared" si="35"/>
        <v>-583.19999999999993</v>
      </c>
      <c r="AF25" s="159">
        <f t="shared" si="35"/>
        <v>-583.19999999999993</v>
      </c>
      <c r="AG25" s="159">
        <f t="shared" si="35"/>
        <v>-583.19999999999993</v>
      </c>
      <c r="AH25" s="159">
        <f t="shared" si="35"/>
        <v>-583.19999999999993</v>
      </c>
      <c r="AI25" s="159">
        <f t="shared" si="35"/>
        <v>-583.19999999999993</v>
      </c>
      <c r="AJ25" s="159">
        <f t="shared" si="35"/>
        <v>-583.19999999999993</v>
      </c>
      <c r="AK25" s="159">
        <f t="shared" si="35"/>
        <v>-583.19999999999993</v>
      </c>
      <c r="AL25" s="159">
        <f t="shared" si="35"/>
        <v>-583.19999999999993</v>
      </c>
      <c r="AM25" s="159">
        <f t="shared" si="35"/>
        <v>-583.19999999999993</v>
      </c>
      <c r="AN25" s="159">
        <f t="shared" si="35"/>
        <v>-583.19999999999993</v>
      </c>
      <c r="AO25" s="217">
        <f t="shared" si="32"/>
        <v>-6998.3999999999987</v>
      </c>
    </row>
    <row r="26" spans="1:41" ht="12.75" customHeight="1">
      <c r="A26" s="181" t="s">
        <v>167</v>
      </c>
      <c r="B26" s="180">
        <f>B24</f>
        <v>-54</v>
      </c>
      <c r="C26" s="159">
        <f t="shared" ref="C26:N26" si="36">C9*$B$26</f>
        <v>-235872</v>
      </c>
      <c r="D26" s="159">
        <f t="shared" si="36"/>
        <v>-224640</v>
      </c>
      <c r="E26" s="159">
        <f t="shared" si="36"/>
        <v>-258336</v>
      </c>
      <c r="F26" s="159">
        <f t="shared" si="36"/>
        <v>-224640</v>
      </c>
      <c r="G26" s="159">
        <f t="shared" si="36"/>
        <v>-247104</v>
      </c>
      <c r="H26" s="159">
        <f t="shared" si="36"/>
        <v>-247104</v>
      </c>
      <c r="I26" s="159">
        <f t="shared" si="36"/>
        <v>-224640</v>
      </c>
      <c r="J26" s="159">
        <f t="shared" si="36"/>
        <v>-258336</v>
      </c>
      <c r="K26" s="159">
        <f t="shared" si="36"/>
        <v>-224640</v>
      </c>
      <c r="L26" s="159">
        <f t="shared" si="36"/>
        <v>-247104</v>
      </c>
      <c r="M26" s="159">
        <f t="shared" si="36"/>
        <v>-224640</v>
      </c>
      <c r="N26" s="159">
        <f t="shared" si="36"/>
        <v>-179712</v>
      </c>
      <c r="O26" s="216">
        <f t="shared" si="28"/>
        <v>-2796768</v>
      </c>
      <c r="P26" s="159">
        <f t="shared" ref="P26:AA26" si="37">P9*$B$26</f>
        <v>-272160</v>
      </c>
      <c r="Q26" s="159">
        <f t="shared" si="37"/>
        <v>-311040</v>
      </c>
      <c r="R26" s="159">
        <f t="shared" si="37"/>
        <v>-357696</v>
      </c>
      <c r="S26" s="159">
        <f t="shared" si="37"/>
        <v>-311040</v>
      </c>
      <c r="T26" s="159">
        <f t="shared" si="37"/>
        <v>-342144</v>
      </c>
      <c r="U26" s="159">
        <f t="shared" si="37"/>
        <v>-342144</v>
      </c>
      <c r="V26" s="159">
        <f t="shared" si="37"/>
        <v>-311040</v>
      </c>
      <c r="W26" s="159">
        <f t="shared" si="37"/>
        <v>-298080</v>
      </c>
      <c r="X26" s="159">
        <f t="shared" si="37"/>
        <v>-259200</v>
      </c>
      <c r="Y26" s="159">
        <f t="shared" si="37"/>
        <v>-285120</v>
      </c>
      <c r="Z26" s="159">
        <f t="shared" si="37"/>
        <v>-259200</v>
      </c>
      <c r="AA26" s="159">
        <f t="shared" si="37"/>
        <v>-207360</v>
      </c>
      <c r="AB26" s="216">
        <f t="shared" si="30"/>
        <v>-3556224</v>
      </c>
      <c r="AC26" s="159">
        <f t="shared" ref="AC26:AN26" si="38">AC9*$B$26</f>
        <v>-272160</v>
      </c>
      <c r="AD26" s="159">
        <f t="shared" si="38"/>
        <v>-259200</v>
      </c>
      <c r="AE26" s="159">
        <f t="shared" si="38"/>
        <v>-298080</v>
      </c>
      <c r="AF26" s="159">
        <f t="shared" si="38"/>
        <v>-259200</v>
      </c>
      <c r="AG26" s="159">
        <f t="shared" si="38"/>
        <v>-285120</v>
      </c>
      <c r="AH26" s="159">
        <f t="shared" si="38"/>
        <v>-285120</v>
      </c>
      <c r="AI26" s="159">
        <f t="shared" si="38"/>
        <v>-259200</v>
      </c>
      <c r="AJ26" s="159">
        <f t="shared" si="38"/>
        <v>-298080</v>
      </c>
      <c r="AK26" s="159">
        <f t="shared" si="38"/>
        <v>-259200</v>
      </c>
      <c r="AL26" s="159">
        <f t="shared" si="38"/>
        <v>-285120</v>
      </c>
      <c r="AM26" s="159">
        <f t="shared" si="38"/>
        <v>-259200</v>
      </c>
      <c r="AN26" s="159">
        <f t="shared" si="38"/>
        <v>-207360</v>
      </c>
      <c r="AO26" s="216">
        <f t="shared" si="32"/>
        <v>-3227040</v>
      </c>
    </row>
    <row r="27" spans="1:41" ht="14.25" customHeight="1">
      <c r="A27" s="181" t="s">
        <v>168</v>
      </c>
      <c r="B27" s="180">
        <f>B25</f>
        <v>-81</v>
      </c>
      <c r="C27" s="159">
        <f t="shared" ref="C27:N27" si="39">$B$27*C12</f>
        <v>-10614.24</v>
      </c>
      <c r="D27" s="159">
        <f t="shared" si="39"/>
        <v>-10108.800000000001</v>
      </c>
      <c r="E27" s="159">
        <f t="shared" si="39"/>
        <v>-11625.12</v>
      </c>
      <c r="F27" s="159">
        <f t="shared" si="39"/>
        <v>-10108.800000000001</v>
      </c>
      <c r="G27" s="159">
        <f t="shared" si="39"/>
        <v>-11119.68</v>
      </c>
      <c r="H27" s="159">
        <f t="shared" si="39"/>
        <v>-11119.68</v>
      </c>
      <c r="I27" s="159">
        <f t="shared" si="39"/>
        <v>-10108.800000000001</v>
      </c>
      <c r="J27" s="159">
        <f t="shared" si="39"/>
        <v>-11625.12</v>
      </c>
      <c r="K27" s="159">
        <f t="shared" si="39"/>
        <v>-10108.800000000001</v>
      </c>
      <c r="L27" s="159">
        <f t="shared" si="39"/>
        <v>-11119.68</v>
      </c>
      <c r="M27" s="159">
        <f t="shared" si="39"/>
        <v>-10108.800000000001</v>
      </c>
      <c r="N27" s="159">
        <f t="shared" si="39"/>
        <v>-8087.04</v>
      </c>
      <c r="O27" s="217">
        <f t="shared" si="28"/>
        <v>-125854.56</v>
      </c>
      <c r="P27" s="159">
        <f t="shared" ref="P27:AA27" si="40">$B$27*P12</f>
        <v>-12247.199999999999</v>
      </c>
      <c r="Q27" s="159">
        <f t="shared" si="40"/>
        <v>-13996.800000000001</v>
      </c>
      <c r="R27" s="159">
        <f t="shared" si="40"/>
        <v>-16096.320000000002</v>
      </c>
      <c r="S27" s="159">
        <f t="shared" si="40"/>
        <v>-13996.800000000001</v>
      </c>
      <c r="T27" s="159">
        <f t="shared" si="40"/>
        <v>-15396.480000000001</v>
      </c>
      <c r="U27" s="159">
        <f t="shared" si="40"/>
        <v>-15396.480000000001</v>
      </c>
      <c r="V27" s="159">
        <f t="shared" si="40"/>
        <v>-13996.800000000001</v>
      </c>
      <c r="W27" s="159">
        <f t="shared" si="40"/>
        <v>-13413.6</v>
      </c>
      <c r="X27" s="159">
        <f t="shared" si="40"/>
        <v>-11664</v>
      </c>
      <c r="Y27" s="159">
        <f t="shared" si="40"/>
        <v>-12830.399999999998</v>
      </c>
      <c r="Z27" s="159">
        <f t="shared" si="40"/>
        <v>-11664</v>
      </c>
      <c r="AA27" s="159">
        <f t="shared" si="40"/>
        <v>-9331.1999999999989</v>
      </c>
      <c r="AB27" s="217">
        <f t="shared" si="30"/>
        <v>-160030.08000000002</v>
      </c>
      <c r="AC27" s="159">
        <f t="shared" ref="AC27:AN27" si="41">$B$27*AC12</f>
        <v>-12247.199999999999</v>
      </c>
      <c r="AD27" s="159">
        <f t="shared" si="41"/>
        <v>-11664</v>
      </c>
      <c r="AE27" s="159">
        <f t="shared" si="41"/>
        <v>-13413.6</v>
      </c>
      <c r="AF27" s="159">
        <f t="shared" si="41"/>
        <v>-11664</v>
      </c>
      <c r="AG27" s="159">
        <f t="shared" si="41"/>
        <v>-12830.399999999998</v>
      </c>
      <c r="AH27" s="159">
        <f t="shared" si="41"/>
        <v>-12830.399999999998</v>
      </c>
      <c r="AI27" s="159">
        <f t="shared" si="41"/>
        <v>-11664</v>
      </c>
      <c r="AJ27" s="159">
        <f t="shared" si="41"/>
        <v>-13413.6</v>
      </c>
      <c r="AK27" s="159">
        <f t="shared" si="41"/>
        <v>-11664</v>
      </c>
      <c r="AL27" s="159">
        <f t="shared" si="41"/>
        <v>-12830.399999999998</v>
      </c>
      <c r="AM27" s="159">
        <f t="shared" si="41"/>
        <v>-11664</v>
      </c>
      <c r="AN27" s="159">
        <f t="shared" si="41"/>
        <v>-9331.1999999999989</v>
      </c>
      <c r="AO27" s="217">
        <f t="shared" si="32"/>
        <v>-145216.79999999999</v>
      </c>
    </row>
    <row r="28" spans="1:41" ht="12.75" customHeight="1">
      <c r="A28" s="167" t="s">
        <v>169</v>
      </c>
      <c r="B28" s="185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217">
        <f t="shared" si="28"/>
        <v>0</v>
      </c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217">
        <f t="shared" si="30"/>
        <v>0</v>
      </c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217">
        <f t="shared" si="32"/>
        <v>0</v>
      </c>
    </row>
    <row r="29" spans="1:41" ht="12.75" customHeight="1">
      <c r="A29" s="167" t="s">
        <v>170</v>
      </c>
      <c r="B29" s="185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217">
        <f t="shared" si="28"/>
        <v>0</v>
      </c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217">
        <f t="shared" si="30"/>
        <v>0</v>
      </c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217">
        <f t="shared" si="32"/>
        <v>0</v>
      </c>
    </row>
    <row r="30" spans="1:41" ht="12.75" customHeight="1">
      <c r="A30" s="167" t="s">
        <v>171</v>
      </c>
      <c r="B30" s="180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217">
        <f t="shared" si="28"/>
        <v>0</v>
      </c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217">
        <f t="shared" si="30"/>
        <v>0</v>
      </c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217">
        <f t="shared" si="32"/>
        <v>0</v>
      </c>
    </row>
    <row r="31" spans="1:41" ht="12.75" customHeight="1">
      <c r="A31" s="167" t="s">
        <v>172</v>
      </c>
      <c r="B31" s="180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217">
        <f t="shared" si="28"/>
        <v>0</v>
      </c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217">
        <f t="shared" si="30"/>
        <v>0</v>
      </c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217">
        <f t="shared" si="32"/>
        <v>0</v>
      </c>
    </row>
    <row r="32" spans="1:41" ht="12.75" customHeight="1">
      <c r="A32" s="167" t="s">
        <v>173</v>
      </c>
      <c r="B32" s="180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217">
        <f t="shared" si="28"/>
        <v>0</v>
      </c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217">
        <f t="shared" si="30"/>
        <v>0</v>
      </c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217">
        <f t="shared" si="32"/>
        <v>0</v>
      </c>
    </row>
    <row r="33" spans="1:41" ht="12.75" customHeight="1">
      <c r="A33" s="167" t="s">
        <v>174</v>
      </c>
      <c r="B33" s="180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217">
        <f t="shared" si="28"/>
        <v>0</v>
      </c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217">
        <f t="shared" si="30"/>
        <v>0</v>
      </c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217">
        <f t="shared" si="32"/>
        <v>0</v>
      </c>
    </row>
    <row r="34" spans="1:41" ht="12.75" customHeight="1">
      <c r="A34" s="167" t="s">
        <v>175</v>
      </c>
      <c r="B34" s="218"/>
      <c r="C34" s="159">
        <f>SUM(C26,C27,C28,C29,C30,C32)</f>
        <v>-246486.24</v>
      </c>
      <c r="D34" s="159">
        <f t="shared" ref="D34:N34" si="42">SUM(D26,D27,D28,D29,D30,D32)</f>
        <v>-234748.79999999999</v>
      </c>
      <c r="E34" s="159">
        <f t="shared" si="42"/>
        <v>-269961.12</v>
      </c>
      <c r="F34" s="159">
        <f t="shared" si="42"/>
        <v>-234748.79999999999</v>
      </c>
      <c r="G34" s="159">
        <f t="shared" si="42"/>
        <v>-258223.68</v>
      </c>
      <c r="H34" s="159">
        <f t="shared" si="42"/>
        <v>-258223.68</v>
      </c>
      <c r="I34" s="159">
        <f t="shared" si="42"/>
        <v>-234748.79999999999</v>
      </c>
      <c r="J34" s="159">
        <f t="shared" si="42"/>
        <v>-269961.12</v>
      </c>
      <c r="K34" s="159">
        <f t="shared" si="42"/>
        <v>-234748.79999999999</v>
      </c>
      <c r="L34" s="159">
        <f t="shared" si="42"/>
        <v>-258223.68</v>
      </c>
      <c r="M34" s="159">
        <f t="shared" si="42"/>
        <v>-234748.79999999999</v>
      </c>
      <c r="N34" s="159">
        <f t="shared" si="42"/>
        <v>-187799.04000000001</v>
      </c>
      <c r="O34" s="219">
        <f t="shared" si="28"/>
        <v>-2922622.5599999996</v>
      </c>
      <c r="P34" s="159">
        <f t="shared" ref="P34:AA34" si="43">SUM(P26,P27,P28,P29,P30,P32)</f>
        <v>-284407.2</v>
      </c>
      <c r="Q34" s="159">
        <f t="shared" si="43"/>
        <v>-325036.79999999999</v>
      </c>
      <c r="R34" s="159">
        <f t="shared" si="43"/>
        <v>-373792.32</v>
      </c>
      <c r="S34" s="159">
        <f t="shared" si="43"/>
        <v>-325036.79999999999</v>
      </c>
      <c r="T34" s="159">
        <f t="shared" si="43"/>
        <v>-357540.48</v>
      </c>
      <c r="U34" s="159">
        <f t="shared" si="43"/>
        <v>-357540.48</v>
      </c>
      <c r="V34" s="159">
        <f t="shared" si="43"/>
        <v>-325036.79999999999</v>
      </c>
      <c r="W34" s="159">
        <f t="shared" si="43"/>
        <v>-311493.59999999998</v>
      </c>
      <c r="X34" s="159">
        <f t="shared" si="43"/>
        <v>-270864</v>
      </c>
      <c r="Y34" s="159">
        <f t="shared" si="43"/>
        <v>-297950.40000000002</v>
      </c>
      <c r="Z34" s="159">
        <f t="shared" si="43"/>
        <v>-270864</v>
      </c>
      <c r="AA34" s="159">
        <f t="shared" si="43"/>
        <v>-216691.20000000001</v>
      </c>
      <c r="AB34" s="219">
        <f t="shared" si="30"/>
        <v>-3716254.08</v>
      </c>
      <c r="AC34" s="159">
        <f t="shared" ref="AC34:AN34" si="44">SUM(AC26,AC27,AC28,AC29,AC30,AC32)</f>
        <v>-284407.2</v>
      </c>
      <c r="AD34" s="159">
        <f t="shared" si="44"/>
        <v>-270864</v>
      </c>
      <c r="AE34" s="159">
        <f t="shared" si="44"/>
        <v>-311493.59999999998</v>
      </c>
      <c r="AF34" s="159">
        <f t="shared" si="44"/>
        <v>-270864</v>
      </c>
      <c r="AG34" s="159">
        <f t="shared" si="44"/>
        <v>-297950.40000000002</v>
      </c>
      <c r="AH34" s="159">
        <f t="shared" si="44"/>
        <v>-297950.40000000002</v>
      </c>
      <c r="AI34" s="159">
        <f t="shared" si="44"/>
        <v>-270864</v>
      </c>
      <c r="AJ34" s="159">
        <f t="shared" si="44"/>
        <v>-311493.59999999998</v>
      </c>
      <c r="AK34" s="159">
        <f t="shared" si="44"/>
        <v>-270864</v>
      </c>
      <c r="AL34" s="159">
        <f t="shared" si="44"/>
        <v>-297950.40000000002</v>
      </c>
      <c r="AM34" s="159">
        <f t="shared" si="44"/>
        <v>-270864</v>
      </c>
      <c r="AN34" s="159">
        <f t="shared" si="44"/>
        <v>-216691.20000000001</v>
      </c>
      <c r="AO34" s="219">
        <f t="shared" si="32"/>
        <v>-3372256.8</v>
      </c>
    </row>
    <row r="35" spans="1:41" ht="12.75" customHeight="1">
      <c r="A35" s="167"/>
      <c r="B35" s="167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</row>
    <row r="36" spans="1:41" ht="12.75" customHeight="1">
      <c r="A36" s="167"/>
      <c r="B36" s="167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</row>
    <row r="37" spans="1:41" ht="12.75" customHeight="1">
      <c r="A37" s="167"/>
      <c r="B37" s="167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</row>
    <row r="38" spans="1:41" ht="12.75" customHeight="1">
      <c r="A38" s="167"/>
      <c r="B38" s="167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</row>
    <row r="39" spans="1:41" ht="12.75" customHeight="1">
      <c r="A39" s="167"/>
      <c r="B39" s="167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</row>
    <row r="40" spans="1:41" ht="12.75" customHeight="1">
      <c r="A40" s="167"/>
      <c r="B40" s="167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</row>
    <row r="41" spans="1:41" ht="12.75" customHeight="1">
      <c r="A41" s="167"/>
      <c r="B41" s="167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</row>
    <row r="42" spans="1:41" ht="12.75" customHeight="1">
      <c r="A42" s="167"/>
      <c r="B42" s="167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</row>
    <row r="43" spans="1:41" ht="12.75" customHeight="1">
      <c r="A43" s="167"/>
      <c r="B43" s="167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</row>
    <row r="44" spans="1:41" ht="12.75" customHeight="1">
      <c r="A44" s="167"/>
      <c r="B44" s="167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</row>
    <row r="45" spans="1:41" ht="12.75" customHeight="1">
      <c r="A45" s="167"/>
      <c r="B45" s="167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</row>
    <row r="46" spans="1:41" ht="12.75" customHeight="1">
      <c r="A46" s="167"/>
      <c r="B46" s="167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</row>
    <row r="47" spans="1:41" ht="12.75" customHeight="1">
      <c r="A47" s="167"/>
      <c r="B47" s="167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</row>
    <row r="48" spans="1:41" ht="12.75" customHeight="1">
      <c r="A48" s="167"/>
      <c r="B48" s="167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</row>
    <row r="49" spans="1:41" ht="12.75" customHeight="1">
      <c r="A49" s="167"/>
      <c r="B49" s="167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</row>
    <row r="50" spans="1:41" ht="12.75" customHeight="1">
      <c r="A50" s="167"/>
      <c r="B50" s="167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</row>
    <row r="51" spans="1:41" ht="12.75" customHeight="1">
      <c r="A51" s="167"/>
      <c r="B51" s="167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</row>
    <row r="52" spans="1:41" ht="12.75" customHeight="1">
      <c r="A52" s="167"/>
      <c r="B52" s="167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</row>
    <row r="53" spans="1:41" ht="12.75" customHeight="1">
      <c r="A53" s="167"/>
      <c r="B53" s="167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</row>
    <row r="54" spans="1:41" ht="12.75" customHeight="1">
      <c r="A54" s="167"/>
      <c r="B54" s="167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</row>
    <row r="55" spans="1:41" ht="12.75" customHeight="1">
      <c r="A55" s="167"/>
      <c r="B55" s="167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</row>
    <row r="56" spans="1:41" ht="12.75" customHeight="1">
      <c r="A56" s="167"/>
      <c r="B56" s="167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</row>
    <row r="57" spans="1:41" ht="12.75" customHeight="1">
      <c r="A57" s="167"/>
      <c r="B57" s="167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</row>
    <row r="58" spans="1:41" ht="12.75" customHeight="1">
      <c r="A58" s="167"/>
      <c r="B58" s="167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</row>
    <row r="59" spans="1:41" ht="12.75" customHeight="1">
      <c r="A59" s="167"/>
      <c r="B59" s="167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</row>
    <row r="60" spans="1:41" ht="12.75" customHeight="1">
      <c r="A60" s="167"/>
      <c r="B60" s="167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</row>
    <row r="61" spans="1:41" ht="12.75" customHeight="1">
      <c r="A61" s="167"/>
      <c r="B61" s="167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</row>
    <row r="62" spans="1:41" ht="12.75" customHeight="1">
      <c r="A62" s="167"/>
      <c r="B62" s="167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</row>
    <row r="63" spans="1:41" ht="12.75" customHeight="1">
      <c r="A63" s="167"/>
      <c r="B63" s="167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</row>
    <row r="64" spans="1:41" ht="12.75" customHeight="1">
      <c r="A64" s="167"/>
      <c r="B64" s="167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</row>
    <row r="65" spans="1:41" ht="12.75" customHeight="1">
      <c r="A65" s="167"/>
      <c r="B65" s="167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</row>
    <row r="66" spans="1:41" ht="12.75" customHeight="1">
      <c r="A66" s="167"/>
      <c r="B66" s="167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</row>
    <row r="67" spans="1:41" ht="12.75" customHeight="1">
      <c r="A67" s="167"/>
      <c r="B67" s="167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</row>
    <row r="68" spans="1:41" ht="12.75" customHeight="1">
      <c r="A68" s="167"/>
      <c r="B68" s="167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</row>
    <row r="69" spans="1:41" ht="12.75" customHeight="1">
      <c r="A69" s="167"/>
      <c r="B69" s="167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</row>
    <row r="70" spans="1:41" ht="12.75" customHeight="1">
      <c r="A70" s="167"/>
      <c r="B70" s="167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</row>
    <row r="71" spans="1:41" ht="12.75" customHeight="1">
      <c r="A71" s="167"/>
      <c r="B71" s="167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</row>
    <row r="72" spans="1:41" ht="12.75" customHeight="1">
      <c r="A72" s="167"/>
      <c r="B72" s="167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</row>
    <row r="73" spans="1:41" ht="12.75" customHeight="1">
      <c r="A73" s="167"/>
      <c r="B73" s="167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</row>
    <row r="74" spans="1:41" ht="12.75" customHeight="1">
      <c r="A74" s="167"/>
      <c r="B74" s="167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</row>
    <row r="75" spans="1:41" ht="12.75" customHeight="1">
      <c r="A75" s="167"/>
      <c r="B75" s="167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</row>
    <row r="76" spans="1:41" ht="12.75" customHeight="1">
      <c r="A76" s="167"/>
      <c r="B76" s="167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</row>
    <row r="77" spans="1:41" ht="12.75" customHeight="1">
      <c r="A77" s="167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</row>
    <row r="78" spans="1:41" ht="12.75" customHeight="1">
      <c r="A78" s="167"/>
      <c r="B78" s="167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</row>
    <row r="79" spans="1:41" ht="12.75" customHeight="1">
      <c r="A79" s="167"/>
      <c r="B79" s="167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</row>
    <row r="80" spans="1:41" ht="12.75" customHeight="1">
      <c r="A80" s="167"/>
      <c r="B80" s="167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</row>
    <row r="81" spans="1:41" ht="12.75" customHeight="1">
      <c r="A81" s="167"/>
      <c r="B81" s="167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</row>
    <row r="82" spans="1:41" ht="12.75" customHeight="1">
      <c r="A82" s="167"/>
      <c r="B82" s="167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</row>
    <row r="83" spans="1:41" ht="12.75" customHeight="1">
      <c r="A83" s="167"/>
      <c r="B83" s="167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</row>
    <row r="84" spans="1:41" ht="12.75" customHeight="1">
      <c r="A84" s="167"/>
      <c r="B84" s="167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</row>
    <row r="85" spans="1:41" ht="12.75" customHeight="1">
      <c r="A85" s="167"/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</row>
    <row r="86" spans="1:41" ht="12.75" customHeight="1">
      <c r="A86" s="167"/>
      <c r="B86" s="167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</row>
    <row r="87" spans="1:41" ht="12.75" customHeight="1">
      <c r="A87" s="167"/>
      <c r="B87" s="167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</row>
    <row r="88" spans="1:41" ht="12.75" customHeight="1">
      <c r="A88" s="167"/>
      <c r="B88" s="167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</row>
    <row r="89" spans="1:41" ht="12.75" customHeight="1">
      <c r="A89" s="167"/>
      <c r="B89" s="167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</row>
    <row r="90" spans="1:41" ht="12.75" customHeight="1">
      <c r="A90" s="167"/>
      <c r="B90" s="167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</row>
    <row r="91" spans="1:41" ht="12.75" customHeight="1">
      <c r="A91" s="167"/>
      <c r="B91" s="167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</row>
    <row r="92" spans="1:41" ht="12.75" customHeight="1">
      <c r="A92" s="167"/>
      <c r="B92" s="167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</row>
    <row r="93" spans="1:41" ht="12.75" customHeight="1">
      <c r="A93" s="167"/>
      <c r="B93" s="167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</row>
    <row r="94" spans="1:41" ht="12.75" customHeight="1">
      <c r="A94" s="167"/>
      <c r="B94" s="167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</row>
    <row r="95" spans="1:41" ht="12.75" customHeight="1">
      <c r="A95" s="167"/>
      <c r="B95" s="167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</row>
    <row r="96" spans="1:41" ht="12.75" customHeight="1">
      <c r="A96" s="167"/>
      <c r="B96" s="167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</row>
    <row r="97" spans="1:41" ht="12.75" customHeight="1">
      <c r="A97" s="167"/>
      <c r="B97" s="167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</row>
    <row r="98" spans="1:41" ht="12.75" customHeight="1">
      <c r="A98" s="167"/>
      <c r="B98" s="167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</row>
    <row r="99" spans="1:41" ht="12.75" customHeight="1">
      <c r="A99" s="167"/>
      <c r="B99" s="167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</row>
    <row r="100" spans="1:41" ht="12.75" customHeight="1">
      <c r="A100" s="167"/>
      <c r="B100" s="167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</row>
    <row r="101" spans="1:41" ht="12.75" customHeight="1">
      <c r="A101" s="167"/>
      <c r="B101" s="167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</row>
    <row r="102" spans="1:41" ht="12.75" customHeight="1">
      <c r="A102" s="167"/>
      <c r="B102" s="167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</row>
    <row r="103" spans="1:41" ht="12.75" customHeight="1">
      <c r="A103" s="167"/>
      <c r="B103" s="167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</row>
    <row r="104" spans="1:41" ht="12.75" customHeight="1">
      <c r="A104" s="167"/>
      <c r="B104" s="167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</row>
    <row r="105" spans="1:41" ht="12.75" customHeight="1">
      <c r="A105" s="167"/>
      <c r="B105" s="167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</row>
    <row r="106" spans="1:41" ht="12.75" customHeight="1">
      <c r="A106" s="167"/>
      <c r="B106" s="167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</row>
    <row r="107" spans="1:41" ht="12.75" customHeight="1">
      <c r="A107" s="167"/>
      <c r="B107" s="167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</row>
    <row r="108" spans="1:41" ht="12.75" customHeight="1">
      <c r="A108" s="167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</row>
    <row r="109" spans="1:41" ht="12.75" customHeight="1">
      <c r="A109" s="167"/>
      <c r="B109" s="167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</row>
    <row r="110" spans="1:41" ht="12.75" customHeight="1">
      <c r="A110" s="167"/>
      <c r="B110" s="167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</row>
    <row r="111" spans="1:41" ht="12.75" customHeight="1">
      <c r="A111" s="167"/>
      <c r="B111" s="167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</row>
    <row r="112" spans="1:41" ht="12.75" customHeight="1">
      <c r="A112" s="167"/>
      <c r="B112" s="167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</row>
    <row r="113" spans="1:41" ht="12.75" customHeight="1">
      <c r="A113" s="167"/>
      <c r="B113" s="167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</row>
    <row r="114" spans="1:41" ht="12.75" customHeight="1">
      <c r="A114" s="167"/>
      <c r="B114" s="167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</row>
    <row r="115" spans="1:41" ht="12.75" customHeight="1">
      <c r="A115" s="167"/>
      <c r="B115" s="167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</row>
    <row r="116" spans="1:41" ht="12.75" customHeight="1">
      <c r="A116" s="167"/>
      <c r="B116" s="167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</row>
    <row r="117" spans="1:41" ht="12.75" customHeight="1">
      <c r="A117" s="167"/>
      <c r="B117" s="167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</row>
    <row r="118" spans="1:41" ht="12.75" customHeight="1">
      <c r="A118" s="167"/>
      <c r="B118" s="167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</row>
    <row r="119" spans="1:41" ht="12.75" customHeight="1">
      <c r="A119" s="167"/>
      <c r="B119" s="167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</row>
    <row r="120" spans="1:41" ht="12.75" customHeight="1">
      <c r="A120" s="167"/>
      <c r="B120" s="167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</row>
    <row r="121" spans="1:41" ht="12.75" customHeight="1">
      <c r="A121" s="167"/>
      <c r="B121" s="167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</row>
    <row r="122" spans="1:41" ht="12.75" customHeight="1">
      <c r="A122" s="167"/>
      <c r="B122" s="167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</row>
    <row r="123" spans="1:41" ht="12.75" customHeight="1">
      <c r="A123" s="167"/>
      <c r="B123" s="167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</row>
    <row r="124" spans="1:41" ht="12.75" customHeight="1">
      <c r="A124" s="167"/>
      <c r="B124" s="167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</row>
    <row r="125" spans="1:41" ht="12.75" customHeight="1">
      <c r="A125" s="167"/>
      <c r="B125" s="167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</row>
    <row r="126" spans="1:41" ht="12.75" customHeight="1">
      <c r="A126" s="167"/>
      <c r="B126" s="167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</row>
    <row r="127" spans="1:41" ht="12.75" customHeight="1">
      <c r="A127" s="167"/>
      <c r="B127" s="167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</row>
    <row r="128" spans="1:41" ht="12.75" customHeight="1">
      <c r="A128" s="167"/>
      <c r="B128" s="167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</row>
    <row r="129" spans="1:41" ht="12.75" customHeight="1">
      <c r="A129" s="167"/>
      <c r="B129" s="167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</row>
    <row r="130" spans="1:41" ht="12.75" customHeight="1">
      <c r="A130" s="167"/>
      <c r="B130" s="167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</row>
    <row r="131" spans="1:41" ht="12.75" customHeight="1">
      <c r="A131" s="167"/>
      <c r="B131" s="167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</row>
    <row r="132" spans="1:41" ht="12.75" customHeight="1">
      <c r="A132" s="167"/>
      <c r="B132" s="167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</row>
    <row r="133" spans="1:41" ht="12.75" customHeight="1">
      <c r="A133" s="167"/>
      <c r="B133" s="167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</row>
    <row r="134" spans="1:41" ht="12.75" customHeight="1">
      <c r="A134" s="167"/>
      <c r="B134" s="167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</row>
    <row r="135" spans="1:41" ht="12.75" customHeight="1">
      <c r="A135" s="167"/>
      <c r="B135" s="167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</row>
    <row r="136" spans="1:41" ht="12.75" customHeight="1">
      <c r="A136" s="167"/>
      <c r="B136" s="167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</row>
    <row r="137" spans="1:41" ht="12.75" customHeight="1">
      <c r="A137" s="167"/>
      <c r="B137" s="167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</row>
    <row r="138" spans="1:41" ht="12.75" customHeight="1">
      <c r="A138" s="167"/>
      <c r="B138" s="167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</row>
    <row r="139" spans="1:41" ht="12.75" customHeight="1">
      <c r="A139" s="167"/>
      <c r="B139" s="167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</row>
    <row r="140" spans="1:41" ht="12.75" customHeight="1">
      <c r="A140" s="167"/>
      <c r="B140" s="167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</row>
    <row r="141" spans="1:41" ht="12.75" customHeight="1">
      <c r="A141" s="167"/>
      <c r="B141" s="167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</row>
    <row r="142" spans="1:41" ht="12.75" customHeight="1">
      <c r="A142" s="167"/>
      <c r="B142" s="167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</row>
    <row r="143" spans="1:41" ht="12.75" customHeight="1">
      <c r="A143" s="167"/>
      <c r="B143" s="167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</row>
    <row r="144" spans="1:41" ht="12.75" customHeight="1">
      <c r="A144" s="167"/>
      <c r="B144" s="167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</row>
    <row r="145" spans="1:41" ht="12.75" customHeight="1">
      <c r="A145" s="167"/>
      <c r="B145" s="167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</row>
    <row r="146" spans="1:41" ht="12.75" customHeight="1">
      <c r="A146" s="167"/>
      <c r="B146" s="167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</row>
    <row r="147" spans="1:41" ht="12.75" customHeight="1">
      <c r="A147" s="167"/>
      <c r="B147" s="167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</row>
    <row r="148" spans="1:41" ht="12.75" customHeight="1">
      <c r="A148" s="167"/>
      <c r="B148" s="167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</row>
    <row r="149" spans="1:41" ht="12.75" customHeight="1">
      <c r="A149" s="167"/>
      <c r="B149" s="167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</row>
    <row r="150" spans="1:41" ht="12.75" customHeight="1">
      <c r="A150" s="167"/>
      <c r="B150" s="167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</row>
    <row r="151" spans="1:41" ht="12.75" customHeight="1">
      <c r="A151" s="167"/>
      <c r="B151" s="167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</row>
    <row r="152" spans="1:41" ht="12.75" customHeight="1">
      <c r="A152" s="167"/>
      <c r="B152" s="167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</row>
    <row r="153" spans="1:41" ht="12.75" customHeight="1">
      <c r="A153" s="167"/>
      <c r="B153" s="167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</row>
    <row r="154" spans="1:41" ht="12.75" customHeight="1">
      <c r="A154" s="167"/>
      <c r="B154" s="167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</row>
    <row r="155" spans="1:41" ht="12.75" customHeight="1">
      <c r="A155" s="167"/>
      <c r="B155" s="167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</row>
    <row r="156" spans="1:41" ht="12.75" customHeight="1">
      <c r="A156" s="167"/>
      <c r="B156" s="167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</row>
    <row r="157" spans="1:41" ht="12.75" customHeight="1">
      <c r="A157" s="167"/>
      <c r="B157" s="167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</row>
    <row r="158" spans="1:41" ht="12.75" customHeight="1">
      <c r="A158" s="167"/>
      <c r="B158" s="167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</row>
    <row r="159" spans="1:41" ht="12.75" customHeight="1">
      <c r="A159" s="167"/>
      <c r="B159" s="167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</row>
    <row r="160" spans="1:41" ht="12.75" customHeight="1">
      <c r="A160" s="167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</row>
    <row r="161" spans="1:41" ht="12.75" customHeight="1">
      <c r="A161" s="167"/>
      <c r="B161" s="167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</row>
    <row r="162" spans="1:41" ht="12.75" customHeight="1">
      <c r="A162" s="167"/>
      <c r="B162" s="167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</row>
    <row r="163" spans="1:41" ht="12.75" customHeight="1">
      <c r="A163" s="167"/>
      <c r="B163" s="167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</row>
    <row r="164" spans="1:41" ht="12.75" customHeight="1">
      <c r="A164" s="167"/>
      <c r="B164" s="167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</row>
    <row r="165" spans="1:41" ht="12.75" customHeight="1">
      <c r="A165" s="167"/>
      <c r="B165" s="167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</row>
    <row r="166" spans="1:41" ht="12.75" customHeight="1">
      <c r="A166" s="167"/>
      <c r="B166" s="167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</row>
    <row r="167" spans="1:41" ht="12.75" customHeight="1">
      <c r="A167" s="167"/>
      <c r="B167" s="167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</row>
    <row r="168" spans="1:41" ht="12.75" customHeight="1">
      <c r="A168" s="167"/>
      <c r="B168" s="167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</row>
    <row r="169" spans="1:41" ht="12.75" customHeight="1">
      <c r="A169" s="167"/>
      <c r="B169" s="167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</row>
    <row r="170" spans="1:41" ht="12.75" customHeight="1">
      <c r="A170" s="167"/>
      <c r="B170" s="167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</row>
    <row r="171" spans="1:41" ht="12.75" customHeight="1">
      <c r="A171" s="167"/>
      <c r="B171" s="167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</row>
    <row r="172" spans="1:41" ht="12.75" customHeight="1">
      <c r="A172" s="167"/>
      <c r="B172" s="167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</row>
    <row r="173" spans="1:41" ht="12.75" customHeight="1">
      <c r="A173" s="167"/>
      <c r="B173" s="167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</row>
    <row r="174" spans="1:41" ht="12.75" customHeight="1">
      <c r="A174" s="167"/>
      <c r="B174" s="167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</row>
    <row r="175" spans="1:41" ht="12.75" customHeight="1">
      <c r="A175" s="167"/>
      <c r="B175" s="167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</row>
    <row r="176" spans="1:41" ht="12.75" customHeight="1">
      <c r="A176" s="167"/>
      <c r="B176" s="167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</row>
    <row r="177" spans="1:41" ht="12.75" customHeight="1">
      <c r="A177" s="167"/>
      <c r="B177" s="167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</row>
    <row r="178" spans="1:41" ht="12.75" customHeight="1">
      <c r="A178" s="167"/>
      <c r="B178" s="167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</row>
    <row r="179" spans="1:41" ht="12.75" customHeight="1">
      <c r="A179" s="167"/>
      <c r="B179" s="167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</row>
    <row r="180" spans="1:41" ht="12.75" customHeight="1">
      <c r="A180" s="167"/>
      <c r="B180" s="167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</row>
    <row r="181" spans="1:41" ht="12.75" customHeight="1">
      <c r="A181" s="167"/>
      <c r="B181" s="167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</row>
    <row r="182" spans="1:41" ht="12.75" customHeight="1">
      <c r="A182" s="167"/>
      <c r="B182" s="167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</row>
    <row r="183" spans="1:41" ht="12.75" customHeight="1">
      <c r="A183" s="167"/>
      <c r="B183" s="167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</row>
    <row r="184" spans="1:41" ht="12.75" customHeight="1">
      <c r="A184" s="167"/>
      <c r="B184" s="167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</row>
    <row r="185" spans="1:41" ht="12.75" customHeight="1">
      <c r="A185" s="167"/>
      <c r="B185" s="167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</row>
    <row r="186" spans="1:41" ht="12.75" customHeight="1">
      <c r="A186" s="167"/>
      <c r="B186" s="167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</row>
    <row r="187" spans="1:41" ht="12.75" customHeight="1">
      <c r="A187" s="167"/>
      <c r="B187" s="167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</row>
    <row r="188" spans="1:41" ht="12.75" customHeight="1">
      <c r="A188" s="167"/>
      <c r="B188" s="167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</row>
    <row r="189" spans="1:41" ht="12.75" customHeight="1">
      <c r="A189" s="167"/>
      <c r="B189" s="167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</row>
    <row r="190" spans="1:41" ht="12.75" customHeight="1">
      <c r="A190" s="167"/>
      <c r="B190" s="167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</row>
    <row r="191" spans="1:41" ht="12.75" customHeight="1">
      <c r="A191" s="167"/>
      <c r="B191" s="167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</row>
    <row r="192" spans="1:41" ht="12.75" customHeight="1">
      <c r="A192" s="167"/>
      <c r="B192" s="167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</row>
    <row r="193" spans="1:41" ht="12.75" customHeight="1">
      <c r="A193" s="167"/>
      <c r="B193" s="167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</row>
    <row r="194" spans="1:41" ht="12.75" customHeight="1">
      <c r="A194" s="167"/>
      <c r="B194" s="167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</row>
    <row r="195" spans="1:41" ht="12.75" customHeight="1">
      <c r="A195" s="167"/>
      <c r="B195" s="167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</row>
    <row r="196" spans="1:41" ht="12.75" customHeight="1">
      <c r="A196" s="167"/>
      <c r="B196" s="167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</row>
    <row r="197" spans="1:41" ht="12.75" customHeight="1">
      <c r="A197" s="167"/>
      <c r="B197" s="167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</row>
    <row r="198" spans="1:41" ht="12.75" customHeight="1">
      <c r="A198" s="167"/>
      <c r="B198" s="167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</row>
    <row r="199" spans="1:41" ht="12.75" customHeight="1">
      <c r="A199" s="167"/>
      <c r="B199" s="167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</row>
    <row r="200" spans="1:41" ht="12.75" customHeight="1">
      <c r="A200" s="167"/>
      <c r="B200" s="167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</row>
    <row r="201" spans="1:41" ht="12.75" customHeight="1">
      <c r="A201" s="167"/>
      <c r="B201" s="167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</row>
    <row r="202" spans="1:41" ht="12.75" customHeight="1">
      <c r="A202" s="167"/>
      <c r="B202" s="167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</row>
    <row r="203" spans="1:41" ht="12.75" customHeight="1">
      <c r="A203" s="167"/>
      <c r="B203" s="167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</row>
    <row r="204" spans="1:41" ht="12.75" customHeight="1">
      <c r="A204" s="167"/>
      <c r="B204" s="167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</row>
    <row r="205" spans="1:41" ht="12.75" customHeight="1">
      <c r="A205" s="167"/>
      <c r="B205" s="167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</row>
    <row r="206" spans="1:41" ht="12.75" customHeight="1">
      <c r="A206" s="167"/>
      <c r="B206" s="167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</row>
    <row r="207" spans="1:41" ht="12.75" customHeight="1">
      <c r="A207" s="167"/>
      <c r="B207" s="167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</row>
    <row r="208" spans="1:41" ht="12.75" customHeight="1">
      <c r="A208" s="167"/>
      <c r="B208" s="167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</row>
    <row r="209" spans="1:41" ht="12.75" customHeight="1">
      <c r="A209" s="167"/>
      <c r="B209" s="167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</row>
    <row r="210" spans="1:41" ht="12.75" customHeight="1">
      <c r="A210" s="167"/>
      <c r="B210" s="167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</row>
    <row r="211" spans="1:41" ht="12.75" customHeight="1">
      <c r="A211" s="167"/>
      <c r="B211" s="167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</row>
    <row r="212" spans="1:41" ht="12.75" customHeight="1">
      <c r="A212" s="167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</row>
    <row r="213" spans="1:41" ht="12.75" customHeight="1">
      <c r="A213" s="167"/>
      <c r="B213" s="167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</row>
    <row r="214" spans="1:41" ht="12.75" customHeight="1">
      <c r="A214" s="167"/>
      <c r="B214" s="167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</row>
    <row r="215" spans="1:41" ht="12.75" customHeight="1">
      <c r="A215" s="167"/>
      <c r="B215" s="167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</row>
    <row r="216" spans="1:41" ht="12.75" customHeight="1">
      <c r="A216" s="167"/>
      <c r="B216" s="167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</row>
    <row r="217" spans="1:41" ht="12.75" customHeight="1">
      <c r="A217" s="167"/>
      <c r="B217" s="167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</row>
    <row r="218" spans="1:41" ht="12.75" customHeight="1">
      <c r="A218" s="167"/>
      <c r="B218" s="167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</row>
    <row r="219" spans="1:41" ht="12.75" customHeight="1">
      <c r="A219" s="167"/>
      <c r="B219" s="167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</row>
    <row r="220" spans="1:41" ht="12.75" customHeight="1">
      <c r="A220" s="167"/>
      <c r="B220" s="167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</row>
    <row r="221" spans="1:41" ht="12.75" customHeight="1">
      <c r="A221" s="167"/>
      <c r="B221" s="167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</row>
    <row r="222" spans="1:41" ht="12.75" customHeight="1">
      <c r="A222" s="167"/>
      <c r="B222" s="167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</row>
    <row r="223" spans="1:41" ht="12.75" customHeight="1">
      <c r="A223" s="167"/>
      <c r="B223" s="167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</row>
    <row r="224" spans="1:41" ht="12.75" customHeight="1">
      <c r="A224" s="167"/>
      <c r="B224" s="167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</row>
    <row r="225" spans="1:41" ht="12.75" customHeight="1">
      <c r="A225" s="167"/>
      <c r="B225" s="167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</row>
    <row r="226" spans="1:41" ht="12.75" customHeight="1">
      <c r="A226" s="167"/>
      <c r="B226" s="167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</row>
    <row r="227" spans="1:41" ht="12.75" customHeight="1">
      <c r="A227" s="167"/>
      <c r="B227" s="167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</row>
    <row r="228" spans="1:41" ht="12.75" customHeight="1">
      <c r="A228" s="167"/>
      <c r="B228" s="167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</row>
    <row r="229" spans="1:41" ht="12.75" customHeight="1">
      <c r="A229" s="167"/>
      <c r="B229" s="167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</row>
    <row r="230" spans="1:41" ht="12.75" customHeight="1">
      <c r="A230" s="167"/>
      <c r="B230" s="167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</row>
    <row r="231" spans="1:41" ht="12.75" customHeight="1">
      <c r="A231" s="167"/>
      <c r="B231" s="167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</row>
    <row r="232" spans="1:41" ht="12.75" customHeight="1">
      <c r="A232" s="167"/>
      <c r="B232" s="167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</row>
    <row r="233" spans="1:41" ht="12.75" customHeight="1">
      <c r="A233" s="167"/>
      <c r="B233" s="167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</row>
    <row r="234" spans="1:41" ht="12.75" customHeight="1">
      <c r="A234" s="167"/>
      <c r="B234" s="167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</row>
    <row r="235" spans="1:41" ht="12.75" customHeight="1">
      <c r="A235" s="167"/>
      <c r="B235" s="167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78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</row>
    <row r="236" spans="1:41" ht="12.75" customHeight="1">
      <c r="A236" s="167"/>
      <c r="B236" s="167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78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</row>
    <row r="237" spans="1:41" ht="12.75" customHeight="1">
      <c r="A237" s="167"/>
      <c r="B237" s="167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78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</row>
    <row r="238" spans="1:41" ht="12.75" customHeight="1">
      <c r="A238" s="167"/>
      <c r="B238" s="167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78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</row>
    <row r="239" spans="1:41" ht="12.75" customHeight="1">
      <c r="A239" s="167"/>
      <c r="B239" s="167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78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</row>
    <row r="240" spans="1:41" ht="12.75" customHeight="1">
      <c r="A240" s="167"/>
      <c r="B240" s="167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78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</row>
    <row r="241" spans="1:41" ht="12.75" customHeight="1">
      <c r="A241" s="167"/>
      <c r="B241" s="167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78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</row>
    <row r="242" spans="1:41" ht="12.75" customHeight="1">
      <c r="A242" s="167"/>
      <c r="B242" s="167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78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</row>
    <row r="243" spans="1:41" ht="12.75" customHeight="1">
      <c r="A243" s="167"/>
      <c r="B243" s="167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78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</row>
    <row r="244" spans="1:41" ht="12.75" customHeight="1">
      <c r="A244" s="167"/>
      <c r="B244" s="167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78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</row>
    <row r="245" spans="1:41" ht="12.75" customHeight="1">
      <c r="A245" s="167"/>
      <c r="B245" s="167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78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</row>
    <row r="246" spans="1:41" ht="12.75" customHeight="1">
      <c r="A246" s="167"/>
      <c r="B246" s="167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78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</row>
    <row r="247" spans="1:41" ht="12.75" customHeight="1">
      <c r="A247" s="167"/>
      <c r="B247" s="167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78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</row>
    <row r="248" spans="1:41" ht="12.75" customHeight="1">
      <c r="A248" s="167"/>
      <c r="B248" s="167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78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</row>
    <row r="249" spans="1:41" ht="12.75" customHeight="1">
      <c r="A249" s="167"/>
      <c r="B249" s="167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78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</row>
    <row r="250" spans="1:41" ht="12.75" customHeight="1">
      <c r="A250" s="167"/>
      <c r="B250" s="167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78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</row>
    <row r="251" spans="1:41" ht="12.75" customHeight="1">
      <c r="A251" s="167"/>
      <c r="B251" s="167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78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</row>
    <row r="252" spans="1:41" ht="12.75" customHeight="1">
      <c r="A252" s="167"/>
      <c r="B252" s="167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78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</row>
    <row r="253" spans="1:41" ht="12.75" customHeight="1">
      <c r="A253" s="167"/>
      <c r="B253" s="167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78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</row>
    <row r="254" spans="1:41" ht="12.75" customHeight="1">
      <c r="A254" s="167"/>
      <c r="B254" s="167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78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</row>
    <row r="255" spans="1:41" ht="12.75" customHeight="1">
      <c r="A255" s="167"/>
      <c r="B255" s="167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78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</row>
    <row r="256" spans="1:41" ht="12.75" customHeight="1">
      <c r="A256" s="167"/>
      <c r="B256" s="167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78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</row>
    <row r="257" spans="1:41" ht="12.75" customHeight="1">
      <c r="A257" s="167"/>
      <c r="B257" s="167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78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</row>
    <row r="258" spans="1:41" ht="12.75" customHeight="1">
      <c r="A258" s="167"/>
      <c r="B258" s="167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78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</row>
    <row r="259" spans="1:41" ht="12.75" customHeight="1">
      <c r="A259" s="167"/>
      <c r="B259" s="167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78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</row>
    <row r="260" spans="1:41" ht="12.75" customHeight="1">
      <c r="A260" s="167"/>
      <c r="B260" s="167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78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</row>
    <row r="261" spans="1:41" ht="12.75" customHeight="1">
      <c r="A261" s="167"/>
      <c r="B261" s="167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78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</row>
    <row r="262" spans="1:41" ht="12.75" customHeight="1">
      <c r="A262" s="167"/>
      <c r="B262" s="167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78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</row>
    <row r="263" spans="1:41" ht="12.75" customHeight="1">
      <c r="A263" s="167"/>
      <c r="B263" s="167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78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</row>
    <row r="264" spans="1:41" ht="12.75" customHeight="1">
      <c r="A264" s="167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78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</row>
    <row r="265" spans="1:41" ht="12.75" customHeight="1">
      <c r="A265" s="167"/>
      <c r="B265" s="167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78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</row>
    <row r="266" spans="1:41" ht="12.75" customHeight="1">
      <c r="A266" s="167"/>
      <c r="B266" s="167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78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</row>
    <row r="267" spans="1:41" ht="12.75" customHeight="1">
      <c r="A267" s="167"/>
      <c r="B267" s="167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78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</row>
    <row r="268" spans="1:41" ht="12.75" customHeight="1">
      <c r="A268" s="167"/>
      <c r="B268" s="167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78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</row>
    <row r="269" spans="1:41" ht="12.75" customHeight="1">
      <c r="A269" s="167"/>
      <c r="B269" s="167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78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</row>
    <row r="270" spans="1:41" ht="12.75" customHeight="1">
      <c r="A270" s="167"/>
      <c r="B270" s="167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78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</row>
    <row r="271" spans="1:41" ht="12.75" customHeight="1">
      <c r="A271" s="167"/>
      <c r="B271" s="167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78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</row>
    <row r="272" spans="1:41" ht="12.75" customHeight="1">
      <c r="A272" s="167"/>
      <c r="B272" s="167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78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</row>
    <row r="273" spans="1:41" ht="12.75" customHeight="1">
      <c r="A273" s="167"/>
      <c r="B273" s="167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78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</row>
    <row r="274" spans="1:41" ht="12.75" customHeight="1">
      <c r="A274" s="167"/>
      <c r="B274" s="167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78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</row>
    <row r="275" spans="1:41" ht="12.75" customHeight="1">
      <c r="A275" s="167"/>
      <c r="B275" s="167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78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</row>
    <row r="276" spans="1:41" ht="12.75" customHeight="1">
      <c r="A276" s="167"/>
      <c r="B276" s="167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78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</row>
    <row r="277" spans="1:41" ht="12.75" customHeight="1">
      <c r="A277" s="167"/>
      <c r="B277" s="167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78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</row>
    <row r="278" spans="1:41" ht="12.75" customHeight="1">
      <c r="A278" s="167"/>
      <c r="B278" s="167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78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</row>
    <row r="279" spans="1:41" ht="12.75" customHeight="1">
      <c r="A279" s="167"/>
      <c r="B279" s="167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78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</row>
    <row r="280" spans="1:41" ht="12.75" customHeight="1">
      <c r="A280" s="167"/>
      <c r="B280" s="167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78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</row>
    <row r="281" spans="1:41" ht="12.75" customHeight="1">
      <c r="A281" s="167"/>
      <c r="B281" s="167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78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</row>
    <row r="282" spans="1:41" ht="12.75" customHeight="1">
      <c r="A282" s="167"/>
      <c r="B282" s="167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78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</row>
    <row r="283" spans="1:41" ht="12.75" customHeight="1">
      <c r="A283" s="167"/>
      <c r="B283" s="167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78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</row>
    <row r="284" spans="1:41" ht="12.75" customHeight="1">
      <c r="A284" s="167"/>
      <c r="B284" s="167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78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</row>
    <row r="285" spans="1:41" ht="12.75" customHeight="1">
      <c r="A285" s="167"/>
      <c r="B285" s="167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78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</row>
    <row r="286" spans="1:41" ht="12.75" customHeight="1">
      <c r="A286" s="167"/>
      <c r="B286" s="167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78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</row>
    <row r="287" spans="1:41" ht="12.75" customHeight="1">
      <c r="A287" s="167"/>
      <c r="B287" s="167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78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</row>
    <row r="288" spans="1:41" ht="12.75" customHeight="1">
      <c r="A288" s="167"/>
      <c r="B288" s="167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78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</row>
    <row r="289" spans="1:41" ht="12.75" customHeight="1">
      <c r="A289" s="167"/>
      <c r="B289" s="167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78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</row>
    <row r="290" spans="1:41" ht="12.75" customHeight="1">
      <c r="A290" s="167"/>
      <c r="B290" s="167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78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</row>
    <row r="291" spans="1:41" ht="12.75" customHeight="1">
      <c r="A291" s="167"/>
      <c r="B291" s="167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78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</row>
    <row r="292" spans="1:41" ht="12.75" customHeight="1">
      <c r="A292" s="167"/>
      <c r="B292" s="167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78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</row>
    <row r="293" spans="1:41" ht="12.75" customHeight="1">
      <c r="A293" s="167"/>
      <c r="B293" s="167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78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</row>
    <row r="294" spans="1:41" ht="12.75" customHeight="1">
      <c r="A294" s="167"/>
      <c r="B294" s="167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78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</row>
    <row r="295" spans="1:41" ht="12.75" customHeight="1">
      <c r="A295" s="167"/>
      <c r="B295" s="167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78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</row>
    <row r="296" spans="1:41" ht="12.75" customHeight="1">
      <c r="A296" s="167"/>
      <c r="B296" s="167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78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</row>
    <row r="297" spans="1:41" ht="12.75" customHeight="1">
      <c r="A297" s="167"/>
      <c r="B297" s="167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78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</row>
    <row r="298" spans="1:41" ht="12.75" customHeight="1">
      <c r="A298" s="167"/>
      <c r="B298" s="167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78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</row>
    <row r="299" spans="1:41" ht="12.75" customHeight="1">
      <c r="A299" s="167"/>
      <c r="B299" s="167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78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</row>
    <row r="300" spans="1:41" ht="12.75" customHeight="1">
      <c r="A300" s="167"/>
      <c r="B300" s="167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78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</row>
    <row r="301" spans="1:41" ht="12.75" customHeight="1">
      <c r="A301" s="167"/>
      <c r="B301" s="167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78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</row>
    <row r="302" spans="1:41" ht="12.75" customHeight="1">
      <c r="A302" s="167"/>
      <c r="B302" s="167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78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</row>
    <row r="303" spans="1:41" ht="12.75" customHeight="1">
      <c r="A303" s="167"/>
      <c r="B303" s="167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78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</row>
    <row r="304" spans="1:41" ht="12.75" customHeight="1">
      <c r="A304" s="167"/>
      <c r="B304" s="167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78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</row>
    <row r="305" spans="1:41" ht="12.75" customHeight="1">
      <c r="A305" s="167"/>
      <c r="B305" s="167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78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</row>
    <row r="306" spans="1:41" ht="12.75" customHeight="1">
      <c r="A306" s="167"/>
      <c r="B306" s="167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78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</row>
    <row r="307" spans="1:41" ht="12.75" customHeight="1">
      <c r="A307" s="167"/>
      <c r="B307" s="167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78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</row>
    <row r="308" spans="1:41" ht="12.75" customHeight="1">
      <c r="A308" s="167"/>
      <c r="B308" s="167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78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</row>
    <row r="309" spans="1:41" ht="12.75" customHeight="1">
      <c r="A309" s="167"/>
      <c r="B309" s="167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78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</row>
    <row r="310" spans="1:41" ht="12.75" customHeight="1">
      <c r="A310" s="167"/>
      <c r="B310" s="167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78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</row>
    <row r="311" spans="1:41" ht="12.75" customHeight="1">
      <c r="A311" s="167"/>
      <c r="B311" s="167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78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</row>
    <row r="312" spans="1:41" ht="12.75" customHeight="1">
      <c r="A312" s="167"/>
      <c r="B312" s="167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78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</row>
    <row r="313" spans="1:41" ht="12.75" customHeight="1">
      <c r="A313" s="167"/>
      <c r="B313" s="167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78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</row>
    <row r="314" spans="1:41" ht="12.75" customHeight="1">
      <c r="A314" s="167"/>
      <c r="B314" s="167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78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</row>
    <row r="315" spans="1:41" ht="12.75" customHeight="1">
      <c r="A315" s="167"/>
      <c r="B315" s="167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78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</row>
    <row r="316" spans="1:41" ht="12.75" customHeight="1">
      <c r="A316" s="167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78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</row>
    <row r="317" spans="1:41" ht="12.75" customHeight="1">
      <c r="A317" s="167"/>
      <c r="B317" s="167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78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</row>
    <row r="318" spans="1:41" ht="12.75" customHeight="1">
      <c r="A318" s="167"/>
      <c r="B318" s="167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78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</row>
    <row r="319" spans="1:41" ht="12.75" customHeight="1">
      <c r="A319" s="167"/>
      <c r="B319" s="167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78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</row>
    <row r="320" spans="1:41" ht="12.75" customHeight="1">
      <c r="A320" s="167"/>
      <c r="B320" s="167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78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</row>
    <row r="321" spans="1:41" ht="12.75" customHeight="1">
      <c r="A321" s="167"/>
      <c r="B321" s="167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78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</row>
    <row r="322" spans="1:41" ht="12.75" customHeight="1">
      <c r="A322" s="167"/>
      <c r="B322" s="167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78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</row>
    <row r="323" spans="1:41" ht="12.75" customHeight="1">
      <c r="A323" s="167"/>
      <c r="B323" s="167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78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</row>
    <row r="324" spans="1:41" ht="12.75" customHeight="1">
      <c r="A324" s="167"/>
      <c r="B324" s="167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78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</row>
    <row r="325" spans="1:41" ht="12.75" customHeight="1">
      <c r="A325" s="167"/>
      <c r="B325" s="167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78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</row>
    <row r="326" spans="1:41" ht="12.75" customHeight="1">
      <c r="A326" s="167"/>
      <c r="B326" s="167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78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</row>
    <row r="327" spans="1:41" ht="12.75" customHeight="1">
      <c r="A327" s="167"/>
      <c r="B327" s="167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78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</row>
    <row r="328" spans="1:41" ht="12.75" customHeight="1">
      <c r="A328" s="167"/>
      <c r="B328" s="167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78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</row>
    <row r="329" spans="1:41" ht="12.75" customHeight="1">
      <c r="A329" s="167"/>
      <c r="B329" s="167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78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</row>
    <row r="330" spans="1:41" ht="12.75" customHeight="1">
      <c r="A330" s="167"/>
      <c r="B330" s="167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78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</row>
    <row r="331" spans="1:41" ht="12.75" customHeight="1">
      <c r="A331" s="167"/>
      <c r="B331" s="167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78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</row>
    <row r="332" spans="1:41" ht="12.75" customHeight="1">
      <c r="A332" s="167"/>
      <c r="B332" s="167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78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</row>
    <row r="333" spans="1:41" ht="12.75" customHeight="1">
      <c r="A333" s="167"/>
      <c r="B333" s="167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78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</row>
    <row r="334" spans="1:41" ht="12.75" customHeight="1">
      <c r="A334" s="167"/>
      <c r="B334" s="167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78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</row>
    <row r="335" spans="1:41" ht="12.75" customHeight="1">
      <c r="A335" s="167"/>
      <c r="B335" s="167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78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</row>
    <row r="336" spans="1:41" ht="12.75" customHeight="1">
      <c r="A336" s="167"/>
      <c r="B336" s="167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78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</row>
    <row r="337" spans="1:41" ht="12.75" customHeight="1">
      <c r="A337" s="167"/>
      <c r="B337" s="167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78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</row>
    <row r="338" spans="1:41" ht="12.75" customHeight="1">
      <c r="A338" s="167"/>
      <c r="B338" s="167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78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</row>
    <row r="339" spans="1:41" ht="12.75" customHeight="1">
      <c r="A339" s="167"/>
      <c r="B339" s="167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78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</row>
    <row r="340" spans="1:41" ht="12.75" customHeight="1">
      <c r="A340" s="167"/>
      <c r="B340" s="167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78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</row>
    <row r="341" spans="1:41" ht="12.75" customHeight="1">
      <c r="A341" s="167"/>
      <c r="B341" s="167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78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</row>
    <row r="342" spans="1:41" ht="12.75" customHeight="1">
      <c r="A342" s="167"/>
      <c r="B342" s="167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78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</row>
    <row r="343" spans="1:41" ht="12.75" customHeight="1">
      <c r="A343" s="167"/>
      <c r="B343" s="167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78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</row>
    <row r="344" spans="1:41" ht="12.75" customHeight="1">
      <c r="A344" s="167"/>
      <c r="B344" s="167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78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</row>
    <row r="345" spans="1:41" ht="12.75" customHeight="1">
      <c r="A345" s="167"/>
      <c r="B345" s="167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78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</row>
    <row r="346" spans="1:41" ht="12.75" customHeight="1">
      <c r="A346" s="167"/>
      <c r="B346" s="167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78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</row>
    <row r="347" spans="1:41" ht="12.75" customHeight="1">
      <c r="A347" s="167"/>
      <c r="B347" s="167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78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</row>
    <row r="348" spans="1:41" ht="12.75" customHeight="1">
      <c r="A348" s="167"/>
      <c r="B348" s="167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78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</row>
    <row r="349" spans="1:41" ht="12.75" customHeight="1">
      <c r="A349" s="167"/>
      <c r="B349" s="167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78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</row>
    <row r="350" spans="1:41" ht="12.75" customHeight="1">
      <c r="A350" s="167"/>
      <c r="B350" s="167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78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</row>
    <row r="351" spans="1:41" ht="12.75" customHeight="1">
      <c r="A351" s="167"/>
      <c r="B351" s="167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78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</row>
    <row r="352" spans="1:41" ht="12.75" customHeight="1">
      <c r="A352" s="167"/>
      <c r="B352" s="167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78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</row>
    <row r="353" spans="1:41" ht="12.75" customHeight="1">
      <c r="A353" s="167"/>
      <c r="B353" s="167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78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</row>
    <row r="354" spans="1:41" ht="12.75" customHeight="1">
      <c r="A354" s="167"/>
      <c r="B354" s="167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78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</row>
    <row r="355" spans="1:41" ht="12.75" customHeight="1">
      <c r="A355" s="167"/>
      <c r="B355" s="167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78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</row>
    <row r="356" spans="1:41" ht="12.75" customHeight="1">
      <c r="A356" s="167"/>
      <c r="B356" s="167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78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</row>
    <row r="357" spans="1:41" ht="12.75" customHeight="1">
      <c r="A357" s="167"/>
      <c r="B357" s="167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78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</row>
    <row r="358" spans="1:41" ht="12.75" customHeight="1">
      <c r="A358" s="167"/>
      <c r="B358" s="167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78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</row>
    <row r="359" spans="1:41" ht="12.75" customHeight="1">
      <c r="A359" s="167"/>
      <c r="B359" s="167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78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</row>
    <row r="360" spans="1:41" ht="12.75" customHeight="1">
      <c r="A360" s="167"/>
      <c r="B360" s="167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78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</row>
    <row r="361" spans="1:41" ht="12.75" customHeight="1">
      <c r="A361" s="167"/>
      <c r="B361" s="167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78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</row>
    <row r="362" spans="1:41" ht="12.75" customHeight="1">
      <c r="A362" s="167"/>
      <c r="B362" s="167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78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</row>
    <row r="363" spans="1:41" ht="12.75" customHeight="1">
      <c r="A363" s="167"/>
      <c r="B363" s="167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78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</row>
    <row r="364" spans="1:41" ht="12.75" customHeight="1">
      <c r="A364" s="167"/>
      <c r="B364" s="167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78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</row>
    <row r="365" spans="1:41" ht="12.75" customHeight="1">
      <c r="A365" s="167"/>
      <c r="B365" s="167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78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</row>
    <row r="366" spans="1:41" ht="12.75" customHeight="1">
      <c r="A366" s="167"/>
      <c r="B366" s="167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78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</row>
    <row r="367" spans="1:41" ht="12.75" customHeight="1">
      <c r="A367" s="167"/>
      <c r="B367" s="167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78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</row>
    <row r="368" spans="1:41" ht="12.75" customHeight="1">
      <c r="A368" s="167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78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</row>
    <row r="369" spans="1:41" ht="12.75" customHeight="1">
      <c r="A369" s="167"/>
      <c r="B369" s="167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78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</row>
    <row r="370" spans="1:41" ht="12.75" customHeight="1">
      <c r="A370" s="167"/>
      <c r="B370" s="167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78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</row>
    <row r="371" spans="1:41" ht="12.75" customHeight="1">
      <c r="A371" s="167"/>
      <c r="B371" s="167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78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</row>
    <row r="372" spans="1:41" ht="12.75" customHeight="1">
      <c r="A372" s="167"/>
      <c r="B372" s="167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78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</row>
    <row r="373" spans="1:41" ht="12.75" customHeight="1">
      <c r="A373" s="167"/>
      <c r="B373" s="167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78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</row>
    <row r="374" spans="1:41" ht="12.75" customHeight="1">
      <c r="A374" s="167"/>
      <c r="B374" s="167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78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</row>
    <row r="375" spans="1:41" ht="12.75" customHeight="1">
      <c r="A375" s="167"/>
      <c r="B375" s="167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78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</row>
    <row r="376" spans="1:41" ht="12.75" customHeight="1">
      <c r="A376" s="167"/>
      <c r="B376" s="167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78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</row>
    <row r="377" spans="1:41" ht="12.75" customHeight="1">
      <c r="A377" s="167"/>
      <c r="B377" s="167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78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</row>
    <row r="378" spans="1:41" ht="12.75" customHeight="1">
      <c r="A378" s="167"/>
      <c r="B378" s="167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78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</row>
    <row r="379" spans="1:41" ht="12.75" customHeight="1">
      <c r="A379" s="167"/>
      <c r="B379" s="167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78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</row>
    <row r="380" spans="1:41" ht="12.75" customHeight="1">
      <c r="A380" s="167"/>
      <c r="B380" s="167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78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</row>
    <row r="381" spans="1:41" ht="12.75" customHeight="1">
      <c r="A381" s="167"/>
      <c r="B381" s="167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78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</row>
    <row r="382" spans="1:41" ht="12.75" customHeight="1">
      <c r="A382" s="167"/>
      <c r="B382" s="167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78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</row>
    <row r="383" spans="1:41" ht="12.75" customHeight="1">
      <c r="A383" s="167"/>
      <c r="B383" s="167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78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</row>
    <row r="384" spans="1:41" ht="12.75" customHeight="1">
      <c r="A384" s="167"/>
      <c r="B384" s="167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78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</row>
    <row r="385" spans="1:41" ht="12.75" customHeight="1">
      <c r="A385" s="167"/>
      <c r="B385" s="167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78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</row>
    <row r="386" spans="1:41" ht="12.75" customHeight="1">
      <c r="A386" s="167"/>
      <c r="B386" s="167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78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</row>
    <row r="387" spans="1:41" ht="12.75" customHeight="1">
      <c r="A387" s="167"/>
      <c r="B387" s="167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78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</row>
    <row r="388" spans="1:41" ht="12.75" customHeight="1">
      <c r="A388" s="167"/>
      <c r="B388" s="167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78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</row>
    <row r="389" spans="1:41" ht="12.75" customHeight="1">
      <c r="A389" s="167"/>
      <c r="B389" s="167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78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</row>
    <row r="390" spans="1:41" ht="12.75" customHeight="1">
      <c r="A390" s="167"/>
      <c r="B390" s="167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78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</row>
    <row r="391" spans="1:41" ht="12.75" customHeight="1">
      <c r="A391" s="167"/>
      <c r="B391" s="167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78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</row>
    <row r="392" spans="1:41" ht="12.75" customHeight="1">
      <c r="A392" s="167"/>
      <c r="B392" s="167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78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</row>
    <row r="393" spans="1:41" ht="12.75" customHeight="1">
      <c r="A393" s="167"/>
      <c r="B393" s="167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78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</row>
    <row r="394" spans="1:41" ht="12.75" customHeight="1">
      <c r="A394" s="167"/>
      <c r="B394" s="167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78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</row>
    <row r="395" spans="1:41" ht="12.75" customHeight="1">
      <c r="A395" s="167"/>
      <c r="B395" s="167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78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</row>
    <row r="396" spans="1:41" ht="12.75" customHeight="1">
      <c r="A396" s="167"/>
      <c r="B396" s="167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78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</row>
    <row r="397" spans="1:41" ht="12.75" customHeight="1">
      <c r="A397" s="167"/>
      <c r="B397" s="167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78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</row>
    <row r="398" spans="1:41" ht="12.75" customHeight="1">
      <c r="A398" s="167"/>
      <c r="B398" s="167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78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</row>
    <row r="399" spans="1:41" ht="12.75" customHeight="1">
      <c r="A399" s="167"/>
      <c r="B399" s="167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78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</row>
    <row r="400" spans="1:41" ht="12.75" customHeight="1">
      <c r="A400" s="167"/>
      <c r="B400" s="167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78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</row>
    <row r="401" spans="1:41" ht="12.75" customHeight="1">
      <c r="A401" s="167"/>
      <c r="B401" s="167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78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</row>
    <row r="402" spans="1:41" ht="12.75" customHeight="1">
      <c r="A402" s="167"/>
      <c r="B402" s="167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78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</row>
    <row r="403" spans="1:41" ht="12.75" customHeight="1">
      <c r="A403" s="167"/>
      <c r="B403" s="167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78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</row>
    <row r="404" spans="1:41" ht="12.75" customHeight="1">
      <c r="A404" s="167"/>
      <c r="B404" s="167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78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</row>
    <row r="405" spans="1:41" ht="12.75" customHeight="1">
      <c r="A405" s="167"/>
      <c r="B405" s="167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78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</row>
    <row r="406" spans="1:41" ht="12.75" customHeight="1">
      <c r="A406" s="167"/>
      <c r="B406" s="167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78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</row>
    <row r="407" spans="1:41" ht="12.75" customHeight="1">
      <c r="A407" s="167"/>
      <c r="B407" s="167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78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</row>
    <row r="408" spans="1:41" ht="12.75" customHeight="1">
      <c r="A408" s="167"/>
      <c r="B408" s="167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78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</row>
    <row r="409" spans="1:41" ht="12.75" customHeight="1">
      <c r="A409" s="167"/>
      <c r="B409" s="167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78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</row>
    <row r="410" spans="1:41" ht="12.75" customHeight="1">
      <c r="A410" s="167"/>
      <c r="B410" s="167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78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</row>
    <row r="411" spans="1:41" ht="12.75" customHeight="1">
      <c r="A411" s="167"/>
      <c r="B411" s="167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78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</row>
    <row r="412" spans="1:41" ht="12.75" customHeight="1">
      <c r="A412" s="167"/>
      <c r="B412" s="167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78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</row>
    <row r="413" spans="1:41" ht="12.75" customHeight="1">
      <c r="A413" s="167"/>
      <c r="B413" s="167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78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</row>
    <row r="414" spans="1:41" ht="12.75" customHeight="1">
      <c r="A414" s="167"/>
      <c r="B414" s="167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78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</row>
    <row r="415" spans="1:41" ht="12.75" customHeight="1">
      <c r="A415" s="167"/>
      <c r="B415" s="167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78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</row>
    <row r="416" spans="1:41" ht="12.75" customHeight="1">
      <c r="A416" s="167"/>
      <c r="B416" s="167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78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</row>
    <row r="417" spans="1:41" ht="12.75" customHeight="1">
      <c r="A417" s="167"/>
      <c r="B417" s="167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78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</row>
    <row r="418" spans="1:41" ht="12.75" customHeight="1">
      <c r="A418" s="167"/>
      <c r="B418" s="167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78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</row>
    <row r="419" spans="1:41" ht="12.75" customHeight="1">
      <c r="A419" s="167"/>
      <c r="B419" s="167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78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</row>
    <row r="420" spans="1:41" ht="12.75" customHeight="1">
      <c r="A420" s="167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78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</row>
    <row r="421" spans="1:41" ht="12.75" customHeight="1">
      <c r="A421" s="167"/>
      <c r="B421" s="167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78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</row>
    <row r="422" spans="1:41" ht="12.75" customHeight="1">
      <c r="A422" s="167"/>
      <c r="B422" s="167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78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</row>
    <row r="423" spans="1:41" ht="12.75" customHeight="1">
      <c r="A423" s="167"/>
      <c r="B423" s="167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78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</row>
    <row r="424" spans="1:41" ht="12.75" customHeight="1">
      <c r="A424" s="167"/>
      <c r="B424" s="167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78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</row>
    <row r="425" spans="1:41" ht="12.75" customHeight="1">
      <c r="A425" s="167"/>
      <c r="B425" s="167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78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</row>
    <row r="426" spans="1:41" ht="12.75" customHeight="1">
      <c r="A426" s="167"/>
      <c r="B426" s="167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78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</row>
    <row r="427" spans="1:41" ht="12.75" customHeight="1">
      <c r="A427" s="167"/>
      <c r="B427" s="167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78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</row>
    <row r="428" spans="1:41" ht="12.75" customHeight="1">
      <c r="A428" s="167"/>
      <c r="B428" s="167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78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</row>
    <row r="429" spans="1:41" ht="12.75" customHeight="1">
      <c r="A429" s="167"/>
      <c r="B429" s="167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78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</row>
    <row r="430" spans="1:41" ht="12.75" customHeight="1">
      <c r="A430" s="167"/>
      <c r="B430" s="167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78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</row>
    <row r="431" spans="1:41" ht="12.75" customHeight="1">
      <c r="A431" s="167"/>
      <c r="B431" s="167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78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</row>
    <row r="432" spans="1:41" ht="12.75" customHeight="1">
      <c r="A432" s="167"/>
      <c r="B432" s="167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78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</row>
    <row r="433" spans="1:41" ht="12.75" customHeight="1">
      <c r="A433" s="167"/>
      <c r="B433" s="167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78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</row>
    <row r="434" spans="1:41" ht="12.75" customHeight="1">
      <c r="A434" s="167"/>
      <c r="B434" s="167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78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</row>
    <row r="435" spans="1:41" ht="12.75" customHeight="1">
      <c r="A435" s="167"/>
      <c r="B435" s="167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78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</row>
    <row r="436" spans="1:41" ht="12.75" customHeight="1">
      <c r="A436" s="167"/>
      <c r="B436" s="167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78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</row>
    <row r="437" spans="1:41" ht="12.75" customHeight="1">
      <c r="A437" s="167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78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</row>
    <row r="438" spans="1:41" ht="12.75" customHeight="1">
      <c r="A438" s="167"/>
      <c r="B438" s="167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78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</row>
    <row r="439" spans="1:41" ht="12.75" customHeight="1">
      <c r="A439" s="167"/>
      <c r="B439" s="167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78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</row>
    <row r="440" spans="1:41" ht="12.75" customHeight="1">
      <c r="A440" s="167"/>
      <c r="B440" s="167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78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</row>
    <row r="441" spans="1:41" ht="12.75" customHeight="1">
      <c r="A441" s="167"/>
      <c r="B441" s="167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78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</row>
    <row r="442" spans="1:41" ht="12.75" customHeight="1">
      <c r="A442" s="167"/>
      <c r="B442" s="167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78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</row>
    <row r="443" spans="1:41" ht="12.75" customHeight="1">
      <c r="A443" s="167"/>
      <c r="B443" s="167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78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</row>
    <row r="444" spans="1:41" ht="12.75" customHeight="1">
      <c r="A444" s="167"/>
      <c r="B444" s="167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78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</row>
    <row r="445" spans="1:41" ht="12.75" customHeight="1">
      <c r="A445" s="167"/>
      <c r="B445" s="167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78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</row>
    <row r="446" spans="1:41" ht="12.75" customHeight="1">
      <c r="A446" s="167"/>
      <c r="B446" s="167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78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</row>
    <row r="447" spans="1:41" ht="12.75" customHeight="1">
      <c r="A447" s="167"/>
      <c r="B447" s="167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78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</row>
    <row r="448" spans="1:41" ht="12.75" customHeight="1">
      <c r="A448" s="167"/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78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</row>
    <row r="449" spans="1:41" ht="12.75" customHeight="1">
      <c r="A449" s="167"/>
      <c r="B449" s="167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78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</row>
    <row r="450" spans="1:41" ht="12.75" customHeight="1">
      <c r="A450" s="167"/>
      <c r="B450" s="167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78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</row>
    <row r="451" spans="1:41" ht="12.75" customHeight="1">
      <c r="A451" s="167"/>
      <c r="B451" s="167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78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</row>
    <row r="452" spans="1:41" ht="12.75" customHeight="1">
      <c r="A452" s="167"/>
      <c r="B452" s="167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78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</row>
    <row r="453" spans="1:41" ht="12.75" customHeight="1">
      <c r="A453" s="167"/>
      <c r="B453" s="167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78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</row>
    <row r="454" spans="1:41" ht="12.75" customHeight="1">
      <c r="A454" s="167"/>
      <c r="B454" s="167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78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</row>
    <row r="455" spans="1:41" ht="12.75" customHeight="1">
      <c r="A455" s="167"/>
      <c r="B455" s="167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78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</row>
    <row r="456" spans="1:41" ht="12.75" customHeight="1">
      <c r="A456" s="167"/>
      <c r="B456" s="167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78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</row>
    <row r="457" spans="1:41" ht="12.75" customHeight="1">
      <c r="A457" s="167"/>
      <c r="B457" s="167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78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</row>
    <row r="458" spans="1:41" ht="12.75" customHeight="1">
      <c r="A458" s="167"/>
      <c r="B458" s="167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78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</row>
    <row r="459" spans="1:41" ht="12.75" customHeight="1">
      <c r="A459" s="167"/>
      <c r="B459" s="167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78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</row>
    <row r="460" spans="1:41" ht="12.75" customHeight="1">
      <c r="A460" s="167"/>
      <c r="B460" s="167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78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</row>
    <row r="461" spans="1:41" ht="12.75" customHeight="1">
      <c r="A461" s="167"/>
      <c r="B461" s="167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78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</row>
    <row r="462" spans="1:41" ht="12.75" customHeight="1">
      <c r="A462" s="167"/>
      <c r="B462" s="167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78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</row>
    <row r="463" spans="1:41" ht="12.75" customHeight="1">
      <c r="A463" s="167"/>
      <c r="B463" s="167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78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</row>
    <row r="464" spans="1:41" ht="12.75" customHeight="1">
      <c r="A464" s="167"/>
      <c r="B464" s="167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78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</row>
    <row r="465" spans="1:41" ht="12.75" customHeight="1">
      <c r="A465" s="167"/>
      <c r="B465" s="167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78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</row>
    <row r="466" spans="1:41" ht="12.75" customHeight="1">
      <c r="A466" s="167"/>
      <c r="B466" s="167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78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</row>
    <row r="467" spans="1:41" ht="12.75" customHeight="1">
      <c r="A467" s="167"/>
      <c r="B467" s="167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78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</row>
    <row r="468" spans="1:41" ht="12.75" customHeight="1">
      <c r="A468" s="167"/>
      <c r="B468" s="167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78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</row>
    <row r="469" spans="1:41" ht="12.75" customHeight="1">
      <c r="A469" s="167"/>
      <c r="B469" s="167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78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</row>
    <row r="470" spans="1:41" ht="12.75" customHeight="1">
      <c r="A470" s="167"/>
      <c r="B470" s="167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78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</row>
    <row r="471" spans="1:41" ht="12.75" customHeight="1">
      <c r="A471" s="167"/>
      <c r="B471" s="167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78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</row>
    <row r="472" spans="1:41" ht="12.75" customHeight="1">
      <c r="A472" s="167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78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</row>
    <row r="473" spans="1:41" ht="12.75" customHeight="1">
      <c r="A473" s="167"/>
      <c r="B473" s="167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78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</row>
    <row r="474" spans="1:41" ht="12.75" customHeight="1">
      <c r="A474" s="167"/>
      <c r="B474" s="167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78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</row>
    <row r="475" spans="1:41" ht="12.75" customHeight="1">
      <c r="A475" s="167"/>
      <c r="B475" s="167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78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</row>
    <row r="476" spans="1:41" ht="12.75" customHeight="1">
      <c r="A476" s="167"/>
      <c r="B476" s="167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78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</row>
    <row r="477" spans="1:41" ht="12.75" customHeight="1">
      <c r="A477" s="167"/>
      <c r="B477" s="167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78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</row>
    <row r="478" spans="1:41" ht="12.75" customHeight="1">
      <c r="A478" s="167"/>
      <c r="B478" s="167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78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</row>
    <row r="479" spans="1:41" ht="12.75" customHeight="1">
      <c r="A479" s="167"/>
      <c r="B479" s="167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78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</row>
    <row r="480" spans="1:41" ht="12.75" customHeight="1">
      <c r="A480" s="167"/>
      <c r="B480" s="167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78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</row>
    <row r="481" spans="1:41" ht="12.75" customHeight="1">
      <c r="A481" s="167"/>
      <c r="B481" s="167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78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</row>
    <row r="482" spans="1:41" ht="12.75" customHeight="1">
      <c r="A482" s="167"/>
      <c r="B482" s="167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78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</row>
    <row r="483" spans="1:41" ht="12.75" customHeight="1">
      <c r="A483" s="167"/>
      <c r="B483" s="167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78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</row>
    <row r="484" spans="1:41" ht="12.75" customHeight="1">
      <c r="A484" s="167"/>
      <c r="B484" s="167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78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</row>
    <row r="485" spans="1:41" ht="12.75" customHeight="1">
      <c r="A485" s="167"/>
      <c r="B485" s="167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78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</row>
    <row r="486" spans="1:41" ht="12.75" customHeight="1">
      <c r="A486" s="167"/>
      <c r="B486" s="167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78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</row>
    <row r="487" spans="1:41" ht="12.75" customHeight="1">
      <c r="A487" s="167"/>
      <c r="B487" s="167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78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</row>
    <row r="488" spans="1:41" ht="12.75" customHeight="1">
      <c r="A488" s="167"/>
      <c r="B488" s="167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78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</row>
    <row r="489" spans="1:41" ht="12.75" customHeight="1">
      <c r="A489" s="167"/>
      <c r="B489" s="167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78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</row>
    <row r="490" spans="1:41" ht="12.75" customHeight="1">
      <c r="A490" s="167"/>
      <c r="B490" s="167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78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</row>
    <row r="491" spans="1:41" ht="12.75" customHeight="1">
      <c r="A491" s="167"/>
      <c r="B491" s="167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78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</row>
    <row r="492" spans="1:41" ht="12.75" customHeight="1">
      <c r="A492" s="167"/>
      <c r="B492" s="167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78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</row>
    <row r="493" spans="1:41" ht="12.75" customHeight="1">
      <c r="A493" s="167"/>
      <c r="B493" s="167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78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</row>
    <row r="494" spans="1:41" ht="12.75" customHeight="1">
      <c r="A494" s="167"/>
      <c r="B494" s="167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78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</row>
    <row r="495" spans="1:41" ht="12.75" customHeight="1">
      <c r="A495" s="167"/>
      <c r="B495" s="167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78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</row>
    <row r="496" spans="1:41" ht="12.75" customHeight="1">
      <c r="A496" s="167"/>
      <c r="B496" s="167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78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</row>
    <row r="497" spans="1:41" ht="12.75" customHeight="1">
      <c r="A497" s="167"/>
      <c r="B497" s="167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78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</row>
    <row r="498" spans="1:41" ht="12.75" customHeight="1">
      <c r="A498" s="167"/>
      <c r="B498" s="167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78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</row>
    <row r="499" spans="1:41" ht="12.75" customHeight="1">
      <c r="A499" s="167"/>
      <c r="B499" s="167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78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</row>
    <row r="500" spans="1:41" ht="12.75" customHeight="1">
      <c r="A500" s="167"/>
      <c r="B500" s="167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78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</row>
    <row r="501" spans="1:41" ht="12.75" customHeight="1">
      <c r="A501" s="167"/>
      <c r="B501" s="167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78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</row>
    <row r="502" spans="1:41" ht="12.75" customHeight="1">
      <c r="A502" s="167"/>
      <c r="B502" s="167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78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</row>
    <row r="503" spans="1:41" ht="12.75" customHeight="1">
      <c r="A503" s="167"/>
      <c r="B503" s="167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78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</row>
    <row r="504" spans="1:41" ht="12.75" customHeight="1">
      <c r="A504" s="167"/>
      <c r="B504" s="167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78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</row>
    <row r="505" spans="1:41" ht="12.75" customHeight="1">
      <c r="A505" s="167"/>
      <c r="B505" s="167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78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</row>
    <row r="506" spans="1:41" ht="12.75" customHeight="1">
      <c r="A506" s="167"/>
      <c r="B506" s="167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78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</row>
    <row r="507" spans="1:41" ht="12.75" customHeight="1">
      <c r="A507" s="167"/>
      <c r="B507" s="167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78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</row>
    <row r="508" spans="1:41" ht="12.75" customHeight="1">
      <c r="A508" s="167"/>
      <c r="B508" s="167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78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</row>
    <row r="509" spans="1:41" ht="12.75" customHeight="1">
      <c r="A509" s="167"/>
      <c r="B509" s="167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78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</row>
    <row r="510" spans="1:41" ht="12.75" customHeight="1">
      <c r="A510" s="167"/>
      <c r="B510" s="167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78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</row>
    <row r="511" spans="1:41" ht="12.75" customHeight="1">
      <c r="A511" s="167"/>
      <c r="B511" s="167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78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</row>
    <row r="512" spans="1:41" ht="12.75" customHeight="1">
      <c r="A512" s="167"/>
      <c r="B512" s="167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78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</row>
    <row r="513" spans="1:41" ht="12.75" customHeight="1">
      <c r="A513" s="167"/>
      <c r="B513" s="167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78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</row>
    <row r="514" spans="1:41" ht="12.75" customHeight="1">
      <c r="A514" s="167"/>
      <c r="B514" s="167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78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</row>
    <row r="515" spans="1:41" ht="12.75" customHeight="1">
      <c r="A515" s="167"/>
      <c r="B515" s="167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78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</row>
    <row r="516" spans="1:41" ht="12.75" customHeight="1">
      <c r="A516" s="167"/>
      <c r="B516" s="167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78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</row>
    <row r="517" spans="1:41" ht="12.75" customHeight="1">
      <c r="A517" s="167"/>
      <c r="B517" s="167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78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</row>
    <row r="518" spans="1:41" ht="12.75" customHeight="1">
      <c r="A518" s="167"/>
      <c r="B518" s="167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78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</row>
    <row r="519" spans="1:41" ht="12.75" customHeight="1">
      <c r="A519" s="167"/>
      <c r="B519" s="167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78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</row>
    <row r="520" spans="1:41" ht="12.75" customHeight="1">
      <c r="A520" s="167"/>
      <c r="B520" s="167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78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</row>
    <row r="521" spans="1:41" ht="12.75" customHeight="1">
      <c r="A521" s="167"/>
      <c r="B521" s="167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78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</row>
    <row r="522" spans="1:41" ht="12.75" customHeight="1">
      <c r="A522" s="167"/>
      <c r="B522" s="167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78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</row>
    <row r="523" spans="1:41" ht="12.75" customHeight="1">
      <c r="A523" s="167"/>
      <c r="B523" s="167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78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</row>
    <row r="524" spans="1:41" ht="12.75" customHeight="1">
      <c r="A524" s="167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78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</row>
    <row r="525" spans="1:41" ht="12.75" customHeight="1">
      <c r="A525" s="167"/>
      <c r="B525" s="167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78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</row>
    <row r="526" spans="1:41" ht="12.75" customHeight="1">
      <c r="A526" s="167"/>
      <c r="B526" s="167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78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</row>
    <row r="527" spans="1:41" ht="12.75" customHeight="1">
      <c r="A527" s="167"/>
      <c r="B527" s="167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78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</row>
    <row r="528" spans="1:41" ht="12.75" customHeight="1">
      <c r="A528" s="167"/>
      <c r="B528" s="167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78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</row>
    <row r="529" spans="1:41" ht="12.75" customHeight="1">
      <c r="A529" s="167"/>
      <c r="B529" s="167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78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</row>
    <row r="530" spans="1:41" ht="12.75" customHeight="1">
      <c r="A530" s="167"/>
      <c r="B530" s="167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78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</row>
    <row r="531" spans="1:41" ht="12.75" customHeight="1">
      <c r="A531" s="167"/>
      <c r="B531" s="167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78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</row>
    <row r="532" spans="1:41" ht="12.75" customHeight="1">
      <c r="A532" s="167"/>
      <c r="B532" s="167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78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</row>
    <row r="533" spans="1:41" ht="12.75" customHeight="1">
      <c r="A533" s="167"/>
      <c r="B533" s="167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78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</row>
    <row r="534" spans="1:41" ht="12.75" customHeight="1">
      <c r="A534" s="167"/>
      <c r="B534" s="167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78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</row>
    <row r="535" spans="1:41" ht="12.75" customHeight="1">
      <c r="A535" s="167"/>
      <c r="B535" s="167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78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</row>
    <row r="536" spans="1:41" ht="12.75" customHeight="1">
      <c r="A536" s="167"/>
      <c r="B536" s="167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78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</row>
    <row r="537" spans="1:41" ht="12.75" customHeight="1">
      <c r="A537" s="167"/>
      <c r="B537" s="167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78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</row>
    <row r="538" spans="1:41" ht="12.75" customHeight="1">
      <c r="A538" s="167"/>
      <c r="B538" s="167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78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</row>
    <row r="539" spans="1:41" ht="12.75" customHeight="1">
      <c r="A539" s="167"/>
      <c r="B539" s="167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78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</row>
    <row r="540" spans="1:41" ht="12.75" customHeight="1">
      <c r="A540" s="167"/>
      <c r="B540" s="167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78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</row>
    <row r="541" spans="1:41" ht="12.75" customHeight="1">
      <c r="A541" s="167"/>
      <c r="B541" s="167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78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</row>
    <row r="542" spans="1:41" ht="12.75" customHeight="1">
      <c r="A542" s="167"/>
      <c r="B542" s="167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78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</row>
    <row r="543" spans="1:41" ht="12.75" customHeight="1">
      <c r="A543" s="167"/>
      <c r="B543" s="167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78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</row>
    <row r="544" spans="1:41" ht="12.75" customHeight="1">
      <c r="A544" s="167"/>
      <c r="B544" s="167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78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</row>
    <row r="545" spans="1:41" ht="12.75" customHeight="1">
      <c r="A545" s="167"/>
      <c r="B545" s="167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78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</row>
    <row r="546" spans="1:41" ht="12.75" customHeight="1">
      <c r="A546" s="167"/>
      <c r="B546" s="167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78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</row>
    <row r="547" spans="1:41" ht="12.75" customHeight="1">
      <c r="A547" s="167"/>
      <c r="B547" s="167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78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</row>
    <row r="548" spans="1:41" ht="12.75" customHeight="1">
      <c r="A548" s="167"/>
      <c r="B548" s="167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78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</row>
    <row r="549" spans="1:41" ht="12.75" customHeight="1">
      <c r="A549" s="167"/>
      <c r="B549" s="167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78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</row>
    <row r="550" spans="1:41" ht="12.75" customHeight="1">
      <c r="A550" s="167"/>
      <c r="B550" s="167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78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</row>
    <row r="551" spans="1:41" ht="12.75" customHeight="1">
      <c r="A551" s="167"/>
      <c r="B551" s="167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78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</row>
    <row r="552" spans="1:41" ht="12.75" customHeight="1">
      <c r="A552" s="167"/>
      <c r="B552" s="167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78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</row>
    <row r="553" spans="1:41" ht="12.75" customHeight="1">
      <c r="A553" s="167"/>
      <c r="B553" s="167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78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</row>
    <row r="554" spans="1:41" ht="12.75" customHeight="1">
      <c r="A554" s="167"/>
      <c r="B554" s="167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78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</row>
    <row r="555" spans="1:41" ht="12.75" customHeight="1">
      <c r="A555" s="167"/>
      <c r="B555" s="167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78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</row>
    <row r="556" spans="1:41" ht="12.75" customHeight="1">
      <c r="A556" s="167"/>
      <c r="B556" s="167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78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</row>
    <row r="557" spans="1:41" ht="12.75" customHeight="1">
      <c r="A557" s="167"/>
      <c r="B557" s="167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78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</row>
    <row r="558" spans="1:41" ht="12.75" customHeight="1">
      <c r="A558" s="167"/>
      <c r="B558" s="167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78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</row>
    <row r="559" spans="1:41" ht="12.75" customHeight="1">
      <c r="A559" s="167"/>
      <c r="B559" s="167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78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</row>
    <row r="560" spans="1:41" ht="12.75" customHeight="1">
      <c r="A560" s="167"/>
      <c r="B560" s="167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78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</row>
    <row r="561" spans="1:41" ht="12.75" customHeight="1">
      <c r="A561" s="167"/>
      <c r="B561" s="167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78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</row>
    <row r="562" spans="1:41" ht="12.75" customHeight="1">
      <c r="A562" s="167"/>
      <c r="B562" s="167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78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</row>
    <row r="563" spans="1:41" ht="12.75" customHeight="1">
      <c r="A563" s="167"/>
      <c r="B563" s="167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78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</row>
    <row r="564" spans="1:41" ht="12.75" customHeight="1">
      <c r="A564" s="167"/>
      <c r="B564" s="167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78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</row>
    <row r="565" spans="1:41" ht="12.75" customHeight="1">
      <c r="A565" s="167"/>
      <c r="B565" s="167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78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</row>
    <row r="566" spans="1:41" ht="12.75" customHeight="1">
      <c r="A566" s="167"/>
      <c r="B566" s="167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78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</row>
    <row r="567" spans="1:41" ht="12.75" customHeight="1">
      <c r="A567" s="167"/>
      <c r="B567" s="167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78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</row>
    <row r="568" spans="1:41" ht="12.75" customHeight="1">
      <c r="A568" s="167"/>
      <c r="B568" s="167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78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</row>
    <row r="569" spans="1:41" ht="12.75" customHeight="1">
      <c r="A569" s="167"/>
      <c r="B569" s="167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78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</row>
    <row r="570" spans="1:41" ht="12.75" customHeight="1">
      <c r="A570" s="167"/>
      <c r="B570" s="167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78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</row>
    <row r="571" spans="1:41" ht="12.75" customHeight="1">
      <c r="A571" s="167"/>
      <c r="B571" s="167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78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</row>
    <row r="572" spans="1:41" ht="12.75" customHeight="1">
      <c r="A572" s="167"/>
      <c r="B572" s="167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78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</row>
    <row r="573" spans="1:41" ht="12.75" customHeight="1">
      <c r="A573" s="167"/>
      <c r="B573" s="167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78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</row>
    <row r="574" spans="1:41" ht="12.75" customHeight="1">
      <c r="A574" s="167"/>
      <c r="B574" s="167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78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</row>
    <row r="575" spans="1:41" ht="12.75" customHeight="1">
      <c r="A575" s="167"/>
      <c r="B575" s="167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78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</row>
    <row r="576" spans="1:41" ht="12.75" customHeight="1">
      <c r="A576" s="167"/>
      <c r="B576" s="167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78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</row>
    <row r="577" spans="1:41" ht="12.75" customHeight="1">
      <c r="A577" s="167"/>
      <c r="B577" s="167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78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</row>
    <row r="578" spans="1:41" ht="12.75" customHeight="1">
      <c r="A578" s="167"/>
      <c r="B578" s="167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78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</row>
    <row r="579" spans="1:41" ht="12.75" customHeight="1">
      <c r="A579" s="167"/>
      <c r="B579" s="167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78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</row>
    <row r="580" spans="1:41" ht="12.75" customHeight="1">
      <c r="A580" s="167"/>
      <c r="B580" s="167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78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</row>
    <row r="581" spans="1:41" ht="12.75" customHeight="1">
      <c r="A581" s="167"/>
      <c r="B581" s="167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78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</row>
    <row r="582" spans="1:41" ht="12.75" customHeight="1">
      <c r="A582" s="167"/>
      <c r="B582" s="167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78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</row>
    <row r="583" spans="1:41" ht="12.75" customHeight="1">
      <c r="A583" s="167"/>
      <c r="B583" s="167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78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</row>
    <row r="584" spans="1:41" ht="12.75" customHeight="1">
      <c r="A584" s="167"/>
      <c r="B584" s="167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78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</row>
    <row r="585" spans="1:41" ht="12.75" customHeight="1">
      <c r="A585" s="167"/>
      <c r="B585" s="167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78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</row>
    <row r="586" spans="1:41" ht="12.75" customHeight="1">
      <c r="A586" s="167"/>
      <c r="B586" s="167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78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</row>
    <row r="587" spans="1:41" ht="12.75" customHeight="1">
      <c r="A587" s="167"/>
      <c r="B587" s="167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78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</row>
    <row r="588" spans="1:41" ht="12.75" customHeight="1">
      <c r="A588" s="167"/>
      <c r="B588" s="167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78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</row>
    <row r="589" spans="1:41" ht="12.75" customHeight="1">
      <c r="A589" s="167"/>
      <c r="B589" s="167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78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</row>
    <row r="590" spans="1:41" ht="12.75" customHeight="1">
      <c r="A590" s="167"/>
      <c r="B590" s="167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78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</row>
    <row r="591" spans="1:41" ht="12.75" customHeight="1">
      <c r="A591" s="167"/>
      <c r="B591" s="167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78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</row>
    <row r="592" spans="1:41" ht="12.75" customHeight="1">
      <c r="A592" s="167"/>
      <c r="B592" s="167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78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</row>
    <row r="593" spans="1:41" ht="12.75" customHeight="1">
      <c r="A593" s="167"/>
      <c r="B593" s="167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78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</row>
    <row r="594" spans="1:41" ht="12.75" customHeight="1">
      <c r="A594" s="167"/>
      <c r="B594" s="167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78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</row>
    <row r="595" spans="1:41" ht="12.75" customHeight="1">
      <c r="A595" s="167"/>
      <c r="B595" s="167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78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</row>
    <row r="596" spans="1:41" ht="12.75" customHeight="1">
      <c r="A596" s="167"/>
      <c r="B596" s="167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78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</row>
    <row r="597" spans="1:41" ht="12.75" customHeight="1">
      <c r="A597" s="167"/>
      <c r="B597" s="167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78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</row>
    <row r="598" spans="1:41" ht="12.75" customHeight="1">
      <c r="A598" s="167"/>
      <c r="B598" s="167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78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</row>
    <row r="599" spans="1:41" ht="12.75" customHeight="1">
      <c r="A599" s="167"/>
      <c r="B599" s="167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78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</row>
    <row r="600" spans="1:41" ht="12.75" customHeight="1">
      <c r="A600" s="167"/>
      <c r="B600" s="167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78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</row>
    <row r="601" spans="1:41" ht="12.75" customHeight="1">
      <c r="A601" s="167"/>
      <c r="B601" s="167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78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</row>
    <row r="602" spans="1:41" ht="12.75" customHeight="1">
      <c r="A602" s="167"/>
      <c r="B602" s="167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78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</row>
    <row r="603" spans="1:41" ht="12.75" customHeight="1">
      <c r="A603" s="167"/>
      <c r="B603" s="167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78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</row>
    <row r="604" spans="1:41" ht="12.75" customHeight="1">
      <c r="A604" s="167"/>
      <c r="B604" s="167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78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</row>
    <row r="605" spans="1:41" ht="12.75" customHeight="1">
      <c r="A605" s="167"/>
      <c r="B605" s="167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78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</row>
    <row r="606" spans="1:41" ht="12.75" customHeight="1">
      <c r="A606" s="167"/>
      <c r="B606" s="167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78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</row>
    <row r="607" spans="1:41" ht="12.75" customHeight="1">
      <c r="A607" s="167"/>
      <c r="B607" s="167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78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</row>
    <row r="608" spans="1:41" ht="12.75" customHeight="1">
      <c r="A608" s="167"/>
      <c r="B608" s="167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78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</row>
    <row r="609" spans="1:41" ht="12.75" customHeight="1">
      <c r="A609" s="167"/>
      <c r="B609" s="167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78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</row>
    <row r="610" spans="1:41" ht="12.75" customHeight="1">
      <c r="A610" s="167"/>
      <c r="B610" s="167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78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</row>
    <row r="611" spans="1:41" ht="12.75" customHeight="1">
      <c r="A611" s="167"/>
      <c r="B611" s="167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78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</row>
    <row r="612" spans="1:41" ht="12.75" customHeight="1">
      <c r="A612" s="167"/>
      <c r="B612" s="167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78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</row>
    <row r="613" spans="1:41" ht="12.75" customHeight="1">
      <c r="A613" s="167"/>
      <c r="B613" s="167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78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</row>
    <row r="614" spans="1:41" ht="12.75" customHeight="1">
      <c r="A614" s="167"/>
      <c r="B614" s="167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78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</row>
    <row r="615" spans="1:41" ht="12.75" customHeight="1">
      <c r="A615" s="167"/>
      <c r="B615" s="167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78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</row>
    <row r="616" spans="1:41" ht="12.75" customHeight="1">
      <c r="A616" s="167"/>
      <c r="B616" s="167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78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</row>
    <row r="617" spans="1:41" ht="12.75" customHeight="1">
      <c r="A617" s="167"/>
      <c r="B617" s="167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78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</row>
    <row r="618" spans="1:41" ht="12.75" customHeight="1">
      <c r="A618" s="167"/>
      <c r="B618" s="167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78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</row>
    <row r="619" spans="1:41" ht="12.75" customHeight="1">
      <c r="A619" s="167"/>
      <c r="B619" s="167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78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</row>
    <row r="620" spans="1:41" ht="12.75" customHeight="1">
      <c r="A620" s="167"/>
      <c r="B620" s="167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78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</row>
    <row r="621" spans="1:41" ht="12.75" customHeight="1">
      <c r="A621" s="167"/>
      <c r="B621" s="167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78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</row>
    <row r="622" spans="1:41" ht="12.75" customHeight="1">
      <c r="A622" s="167"/>
      <c r="B622" s="167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78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</row>
    <row r="623" spans="1:41" ht="12.75" customHeight="1">
      <c r="A623" s="167"/>
      <c r="B623" s="167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78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</row>
    <row r="624" spans="1:41" ht="12.75" customHeight="1">
      <c r="A624" s="167"/>
      <c r="B624" s="167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78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</row>
    <row r="625" spans="1:41" ht="12.75" customHeight="1">
      <c r="A625" s="167"/>
      <c r="B625" s="167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78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</row>
    <row r="626" spans="1:41" ht="12.75" customHeight="1">
      <c r="A626" s="167"/>
      <c r="B626" s="167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78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</row>
    <row r="627" spans="1:41" ht="12.75" customHeight="1">
      <c r="A627" s="167"/>
      <c r="B627" s="167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78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</row>
    <row r="628" spans="1:41" ht="12.75" customHeight="1">
      <c r="A628" s="167"/>
      <c r="B628" s="167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78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</row>
    <row r="629" spans="1:41" ht="12.75" customHeight="1">
      <c r="A629" s="167"/>
      <c r="B629" s="167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78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</row>
    <row r="630" spans="1:41" ht="12.75" customHeight="1">
      <c r="A630" s="167"/>
      <c r="B630" s="167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78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</row>
    <row r="631" spans="1:41" ht="12.75" customHeight="1">
      <c r="A631" s="167"/>
      <c r="B631" s="167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78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</row>
    <row r="632" spans="1:41" ht="12.75" customHeight="1">
      <c r="A632" s="167"/>
      <c r="B632" s="167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78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</row>
    <row r="633" spans="1:41" ht="12.75" customHeight="1">
      <c r="A633" s="167"/>
      <c r="B633" s="167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78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</row>
    <row r="634" spans="1:41" ht="12.75" customHeight="1">
      <c r="A634" s="167"/>
      <c r="B634" s="167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78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</row>
    <row r="635" spans="1:41" ht="12.75" customHeight="1">
      <c r="A635" s="167"/>
      <c r="B635" s="167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78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</row>
    <row r="636" spans="1:41" ht="12.75" customHeight="1">
      <c r="A636" s="167"/>
      <c r="B636" s="167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78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</row>
    <row r="637" spans="1:41" ht="12.75" customHeight="1">
      <c r="A637" s="167"/>
      <c r="B637" s="167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78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</row>
    <row r="638" spans="1:41" ht="12.75" customHeight="1">
      <c r="A638" s="167"/>
      <c r="B638" s="167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78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</row>
    <row r="639" spans="1:41" ht="12.75" customHeight="1">
      <c r="A639" s="167"/>
      <c r="B639" s="167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78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</row>
    <row r="640" spans="1:41" ht="12.75" customHeight="1">
      <c r="A640" s="167"/>
      <c r="B640" s="167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78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</row>
    <row r="641" spans="1:41" ht="12.75" customHeight="1">
      <c r="A641" s="167"/>
      <c r="B641" s="167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78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</row>
    <row r="642" spans="1:41" ht="12.75" customHeight="1">
      <c r="A642" s="167"/>
      <c r="B642" s="167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78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</row>
    <row r="643" spans="1:41" ht="12.75" customHeight="1">
      <c r="A643" s="167"/>
      <c r="B643" s="167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78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</row>
    <row r="644" spans="1:41" ht="12.75" customHeight="1">
      <c r="A644" s="167"/>
      <c r="B644" s="167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78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</row>
    <row r="645" spans="1:41" ht="12.75" customHeight="1">
      <c r="A645" s="167"/>
      <c r="B645" s="167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78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</row>
    <row r="646" spans="1:41" ht="12.75" customHeight="1">
      <c r="A646" s="167"/>
      <c r="B646" s="167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78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</row>
    <row r="647" spans="1:41" ht="12.75" customHeight="1">
      <c r="A647" s="167"/>
      <c r="B647" s="167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78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</row>
    <row r="648" spans="1:41" ht="12.75" customHeight="1">
      <c r="A648" s="167"/>
      <c r="B648" s="167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78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</row>
    <row r="649" spans="1:41" ht="12.75" customHeight="1">
      <c r="A649" s="167"/>
      <c r="B649" s="167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78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</row>
    <row r="650" spans="1:41" ht="12.75" customHeight="1">
      <c r="A650" s="167"/>
      <c r="B650" s="167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78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</row>
    <row r="651" spans="1:41" ht="12.75" customHeight="1">
      <c r="A651" s="167"/>
      <c r="B651" s="167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78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</row>
    <row r="652" spans="1:41" ht="12.75" customHeight="1">
      <c r="A652" s="167"/>
      <c r="B652" s="167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78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</row>
    <row r="653" spans="1:41" ht="12.75" customHeight="1">
      <c r="A653" s="167"/>
      <c r="B653" s="167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78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</row>
    <row r="654" spans="1:41" ht="12.75" customHeight="1">
      <c r="A654" s="167"/>
      <c r="B654" s="167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78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</row>
    <row r="655" spans="1:41" ht="12.75" customHeight="1">
      <c r="A655" s="167"/>
      <c r="B655" s="167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78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</row>
    <row r="656" spans="1:41" ht="12.75" customHeight="1">
      <c r="A656" s="167"/>
      <c r="B656" s="167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78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</row>
    <row r="657" spans="1:41" ht="12.75" customHeight="1">
      <c r="A657" s="167"/>
      <c r="B657" s="167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78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</row>
    <row r="658" spans="1:41" ht="12.75" customHeight="1">
      <c r="A658" s="167"/>
      <c r="B658" s="167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78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</row>
    <row r="659" spans="1:41" ht="12.75" customHeight="1">
      <c r="A659" s="167"/>
      <c r="B659" s="167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78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</row>
    <row r="660" spans="1:41" ht="12.75" customHeight="1">
      <c r="A660" s="167"/>
      <c r="B660" s="167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78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</row>
    <row r="661" spans="1:41" ht="12.75" customHeight="1">
      <c r="A661" s="167"/>
      <c r="B661" s="167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78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</row>
    <row r="662" spans="1:41" ht="12.75" customHeight="1">
      <c r="A662" s="167"/>
      <c r="B662" s="167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78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</row>
    <row r="663" spans="1:41" ht="12.75" customHeight="1">
      <c r="A663" s="167"/>
      <c r="B663" s="167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78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</row>
    <row r="664" spans="1:41" ht="12.75" customHeight="1">
      <c r="A664" s="167"/>
      <c r="B664" s="167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78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</row>
    <row r="665" spans="1:41" ht="12.75" customHeight="1">
      <c r="A665" s="167"/>
      <c r="B665" s="167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78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</row>
    <row r="666" spans="1:41" ht="12.75" customHeight="1">
      <c r="A666" s="167"/>
      <c r="B666" s="167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78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</row>
    <row r="667" spans="1:41" ht="12.75" customHeight="1">
      <c r="A667" s="167"/>
      <c r="B667" s="167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78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</row>
    <row r="668" spans="1:41" ht="12.75" customHeight="1">
      <c r="A668" s="167"/>
      <c r="B668" s="167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78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</row>
    <row r="669" spans="1:41" ht="12.75" customHeight="1">
      <c r="A669" s="167"/>
      <c r="B669" s="167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78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</row>
    <row r="670" spans="1:41" ht="12.75" customHeight="1">
      <c r="A670" s="167"/>
      <c r="B670" s="167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78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</row>
    <row r="671" spans="1:41" ht="12.75" customHeight="1">
      <c r="A671" s="167"/>
      <c r="B671" s="167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78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</row>
    <row r="672" spans="1:41" ht="12.75" customHeight="1">
      <c r="A672" s="167"/>
      <c r="B672" s="167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78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</row>
    <row r="673" spans="1:41" ht="12.75" customHeight="1">
      <c r="A673" s="167"/>
      <c r="B673" s="167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78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</row>
    <row r="674" spans="1:41" ht="12.75" customHeight="1">
      <c r="A674" s="167"/>
      <c r="B674" s="167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78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</row>
    <row r="675" spans="1:41" ht="12.75" customHeight="1">
      <c r="A675" s="167"/>
      <c r="B675" s="167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78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</row>
    <row r="676" spans="1:41" ht="12.75" customHeight="1">
      <c r="A676" s="167"/>
      <c r="B676" s="167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78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</row>
    <row r="677" spans="1:41" ht="12.75" customHeight="1">
      <c r="A677" s="167"/>
      <c r="B677" s="167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78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</row>
    <row r="678" spans="1:41" ht="12.75" customHeight="1">
      <c r="A678" s="167"/>
      <c r="B678" s="167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78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</row>
    <row r="679" spans="1:41" ht="12.75" customHeight="1">
      <c r="A679" s="167"/>
      <c r="B679" s="167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78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</row>
    <row r="680" spans="1:41" ht="12.75" customHeight="1">
      <c r="A680" s="167"/>
      <c r="B680" s="167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78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</row>
    <row r="681" spans="1:41" ht="12.75" customHeight="1">
      <c r="A681" s="167"/>
      <c r="B681" s="167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78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</row>
    <row r="682" spans="1:41" ht="12.75" customHeight="1">
      <c r="A682" s="167"/>
      <c r="B682" s="167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78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</row>
    <row r="683" spans="1:41" ht="12.75" customHeight="1">
      <c r="A683" s="167"/>
      <c r="B683" s="167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78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</row>
    <row r="684" spans="1:41" ht="12.75" customHeight="1">
      <c r="A684" s="167"/>
      <c r="B684" s="167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78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</row>
    <row r="685" spans="1:41" ht="12.75" customHeight="1">
      <c r="A685" s="167"/>
      <c r="B685" s="167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78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</row>
    <row r="686" spans="1:41" ht="12.75" customHeight="1">
      <c r="A686" s="167"/>
      <c r="B686" s="167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78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</row>
    <row r="687" spans="1:41" ht="12.75" customHeight="1">
      <c r="A687" s="167"/>
      <c r="B687" s="167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78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</row>
    <row r="688" spans="1:41" ht="12.75" customHeight="1">
      <c r="A688" s="167"/>
      <c r="B688" s="167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78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</row>
    <row r="689" spans="1:41" ht="12.75" customHeight="1">
      <c r="A689" s="167"/>
      <c r="B689" s="167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78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</row>
    <row r="690" spans="1:41" ht="12.75" customHeight="1">
      <c r="A690" s="167"/>
      <c r="B690" s="167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78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</row>
    <row r="691" spans="1:41" ht="12.75" customHeight="1">
      <c r="A691" s="167"/>
      <c r="B691" s="167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78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</row>
    <row r="692" spans="1:41" ht="12.75" customHeight="1">
      <c r="A692" s="167"/>
      <c r="B692" s="167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78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</row>
    <row r="693" spans="1:41" ht="12.75" customHeight="1">
      <c r="A693" s="167"/>
      <c r="B693" s="167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78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</row>
    <row r="694" spans="1:41" ht="12.75" customHeight="1">
      <c r="A694" s="167"/>
      <c r="B694" s="167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78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</row>
    <row r="695" spans="1:41" ht="12.75" customHeight="1">
      <c r="A695" s="167"/>
      <c r="B695" s="167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78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</row>
    <row r="696" spans="1:41" ht="12.75" customHeight="1">
      <c r="A696" s="167"/>
      <c r="B696" s="167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78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</row>
    <row r="697" spans="1:41" ht="12.75" customHeight="1">
      <c r="A697" s="167"/>
      <c r="B697" s="167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78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</row>
    <row r="698" spans="1:41" ht="12.75" customHeight="1">
      <c r="A698" s="167"/>
      <c r="B698" s="167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78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</row>
    <row r="699" spans="1:41" ht="12.75" customHeight="1">
      <c r="A699" s="167"/>
      <c r="B699" s="167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78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</row>
    <row r="700" spans="1:41" ht="12.75" customHeight="1">
      <c r="A700" s="167"/>
      <c r="B700" s="167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78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</row>
    <row r="701" spans="1:41" ht="12.75" customHeight="1">
      <c r="A701" s="167"/>
      <c r="B701" s="167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78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</row>
    <row r="702" spans="1:41" ht="12.75" customHeight="1">
      <c r="A702" s="167"/>
      <c r="B702" s="167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78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</row>
    <row r="703" spans="1:41" ht="12.75" customHeight="1">
      <c r="A703" s="167"/>
      <c r="B703" s="167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78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</row>
    <row r="704" spans="1:41" ht="12.75" customHeight="1">
      <c r="A704" s="167"/>
      <c r="B704" s="167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78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</row>
    <row r="705" spans="1:41" ht="12.75" customHeight="1">
      <c r="A705" s="167"/>
      <c r="B705" s="167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78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</row>
    <row r="706" spans="1:41" ht="12.75" customHeight="1">
      <c r="A706" s="167"/>
      <c r="B706" s="167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78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</row>
    <row r="707" spans="1:41" ht="12.75" customHeight="1">
      <c r="A707" s="167"/>
      <c r="B707" s="167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78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</row>
    <row r="708" spans="1:41" ht="12.75" customHeight="1">
      <c r="A708" s="167"/>
      <c r="B708" s="167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78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</row>
    <row r="709" spans="1:41" ht="12.75" customHeight="1">
      <c r="A709" s="167"/>
      <c r="B709" s="167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78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</row>
    <row r="710" spans="1:41" ht="12.75" customHeight="1">
      <c r="A710" s="167"/>
      <c r="B710" s="167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78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</row>
    <row r="711" spans="1:41" ht="12.75" customHeight="1">
      <c r="A711" s="167"/>
      <c r="B711" s="167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78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</row>
    <row r="712" spans="1:41" ht="12.75" customHeight="1">
      <c r="A712" s="167"/>
      <c r="B712" s="167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78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</row>
    <row r="713" spans="1:41" ht="12.75" customHeight="1">
      <c r="A713" s="167"/>
      <c r="B713" s="167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78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</row>
    <row r="714" spans="1:41" ht="12.75" customHeight="1">
      <c r="A714" s="167"/>
      <c r="B714" s="167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78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</row>
    <row r="715" spans="1:41" ht="12.75" customHeight="1">
      <c r="A715" s="167"/>
      <c r="B715" s="167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78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</row>
    <row r="716" spans="1:41" ht="12.75" customHeight="1">
      <c r="A716" s="167"/>
      <c r="B716" s="167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78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</row>
    <row r="717" spans="1:41" ht="12.75" customHeight="1">
      <c r="A717" s="167"/>
      <c r="B717" s="167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78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</row>
    <row r="718" spans="1:41" ht="12.75" customHeight="1">
      <c r="A718" s="167"/>
      <c r="B718" s="167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78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</row>
    <row r="719" spans="1:41" ht="12.75" customHeight="1">
      <c r="A719" s="167"/>
      <c r="B719" s="167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78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</row>
    <row r="720" spans="1:41" ht="12.75" customHeight="1">
      <c r="A720" s="167"/>
      <c r="B720" s="167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78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</row>
    <row r="721" spans="1:41" ht="12.75" customHeight="1">
      <c r="A721" s="167"/>
      <c r="B721" s="167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78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</row>
    <row r="722" spans="1:41" ht="12.75" customHeight="1">
      <c r="A722" s="167"/>
      <c r="B722" s="167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78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</row>
    <row r="723" spans="1:41" ht="12.75" customHeight="1">
      <c r="A723" s="167"/>
      <c r="B723" s="167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78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</row>
    <row r="724" spans="1:41" ht="12.75" customHeight="1">
      <c r="A724" s="167"/>
      <c r="B724" s="167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78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</row>
    <row r="725" spans="1:41" ht="12.75" customHeight="1">
      <c r="A725" s="167"/>
      <c r="B725" s="167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78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</row>
    <row r="726" spans="1:41" ht="12.75" customHeight="1">
      <c r="A726" s="167"/>
      <c r="B726" s="167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78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</row>
    <row r="727" spans="1:41" ht="12.75" customHeight="1">
      <c r="A727" s="167"/>
      <c r="B727" s="167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78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</row>
    <row r="728" spans="1:41" ht="12.75" customHeight="1">
      <c r="A728" s="167"/>
      <c r="B728" s="167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78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</row>
    <row r="729" spans="1:41" ht="12.75" customHeight="1">
      <c r="A729" s="167"/>
      <c r="B729" s="167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78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</row>
    <row r="730" spans="1:41" ht="12.75" customHeight="1">
      <c r="A730" s="167"/>
      <c r="B730" s="167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78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</row>
    <row r="731" spans="1:41" ht="12.75" customHeight="1">
      <c r="A731" s="167"/>
      <c r="B731" s="167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78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</row>
    <row r="732" spans="1:41" ht="12.75" customHeight="1">
      <c r="A732" s="167"/>
      <c r="B732" s="167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78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</row>
    <row r="733" spans="1:41" ht="12.75" customHeight="1">
      <c r="A733" s="167"/>
      <c r="B733" s="167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78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</row>
    <row r="734" spans="1:41" ht="12.75" customHeight="1">
      <c r="A734" s="167"/>
      <c r="B734" s="167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78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</row>
    <row r="735" spans="1:41" ht="12.75" customHeight="1">
      <c r="A735" s="167"/>
      <c r="B735" s="167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78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</row>
    <row r="736" spans="1:41" ht="12.75" customHeight="1">
      <c r="A736" s="167"/>
      <c r="B736" s="167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78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</row>
    <row r="737" spans="1:41" ht="12.75" customHeight="1">
      <c r="A737" s="167"/>
      <c r="B737" s="167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78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</row>
    <row r="738" spans="1:41" ht="12.75" customHeight="1">
      <c r="A738" s="167"/>
      <c r="B738" s="167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78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</row>
    <row r="739" spans="1:41" ht="12.75" customHeight="1">
      <c r="A739" s="167"/>
      <c r="B739" s="167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78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</row>
    <row r="740" spans="1:41" ht="12.75" customHeight="1">
      <c r="A740" s="167"/>
      <c r="B740" s="167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78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</row>
    <row r="741" spans="1:41" ht="12.75" customHeight="1">
      <c r="A741" s="167"/>
      <c r="B741" s="167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78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</row>
    <row r="742" spans="1:41" ht="12.75" customHeight="1">
      <c r="A742" s="167"/>
      <c r="B742" s="167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78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</row>
    <row r="743" spans="1:41" ht="12.75" customHeight="1">
      <c r="A743" s="167"/>
      <c r="B743" s="167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78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</row>
    <row r="744" spans="1:41" ht="12.75" customHeight="1">
      <c r="A744" s="167"/>
      <c r="B744" s="167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78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</row>
    <row r="745" spans="1:41" ht="12.75" customHeight="1">
      <c r="A745" s="167"/>
      <c r="B745" s="167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78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</row>
    <row r="746" spans="1:41" ht="12.75" customHeight="1">
      <c r="A746" s="167"/>
      <c r="B746" s="167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78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</row>
    <row r="747" spans="1:41" ht="12.75" customHeight="1">
      <c r="A747" s="167"/>
      <c r="B747" s="167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78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</row>
    <row r="748" spans="1:41" ht="12.75" customHeight="1">
      <c r="A748" s="167"/>
      <c r="B748" s="167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78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</row>
    <row r="749" spans="1:41" ht="12.75" customHeight="1">
      <c r="A749" s="167"/>
      <c r="B749" s="167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78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</row>
    <row r="750" spans="1:41" ht="12.75" customHeight="1">
      <c r="A750" s="167"/>
      <c r="B750" s="167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78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</row>
    <row r="751" spans="1:41" ht="12.75" customHeight="1">
      <c r="A751" s="167"/>
      <c r="B751" s="167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78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</row>
    <row r="752" spans="1:41" ht="12.75" customHeight="1">
      <c r="A752" s="167"/>
      <c r="B752" s="167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78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</row>
    <row r="753" spans="1:41" ht="12.75" customHeight="1">
      <c r="A753" s="167"/>
      <c r="B753" s="167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78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</row>
    <row r="754" spans="1:41" ht="12.75" customHeight="1">
      <c r="A754" s="167"/>
      <c r="B754" s="167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78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</row>
    <row r="755" spans="1:41" ht="12.75" customHeight="1">
      <c r="A755" s="167"/>
      <c r="B755" s="167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78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</row>
    <row r="756" spans="1:41" ht="12.75" customHeight="1">
      <c r="A756" s="167"/>
      <c r="B756" s="167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78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</row>
    <row r="757" spans="1:41" ht="12.75" customHeight="1">
      <c r="A757" s="167"/>
      <c r="B757" s="167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78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</row>
    <row r="758" spans="1:41" ht="12.75" customHeight="1">
      <c r="A758" s="167"/>
      <c r="B758" s="167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78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</row>
    <row r="759" spans="1:41" ht="12.75" customHeight="1">
      <c r="A759" s="167"/>
      <c r="B759" s="167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78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</row>
    <row r="760" spans="1:41" ht="12.75" customHeight="1">
      <c r="A760" s="167"/>
      <c r="B760" s="167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78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</row>
    <row r="761" spans="1:41" ht="12.75" customHeight="1">
      <c r="A761" s="167"/>
      <c r="B761" s="167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78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</row>
    <row r="762" spans="1:41" ht="12.75" customHeight="1">
      <c r="A762" s="167"/>
      <c r="B762" s="167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78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</row>
    <row r="763" spans="1:41" ht="12.75" customHeight="1">
      <c r="A763" s="167"/>
      <c r="B763" s="167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78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</row>
    <row r="764" spans="1:41" ht="12.75" customHeight="1">
      <c r="A764" s="167"/>
      <c r="B764" s="167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78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</row>
    <row r="765" spans="1:41" ht="12.75" customHeight="1">
      <c r="A765" s="167"/>
      <c r="B765" s="167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78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</row>
    <row r="766" spans="1:41" ht="12.75" customHeight="1">
      <c r="A766" s="167"/>
      <c r="B766" s="167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78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</row>
    <row r="767" spans="1:41" ht="12.75" customHeight="1">
      <c r="A767" s="167"/>
      <c r="B767" s="167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78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</row>
    <row r="768" spans="1:41" ht="12.75" customHeight="1">
      <c r="A768" s="167"/>
      <c r="B768" s="167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78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</row>
    <row r="769" spans="1:41" ht="12.75" customHeight="1">
      <c r="A769" s="167"/>
      <c r="B769" s="167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78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</row>
    <row r="770" spans="1:41" ht="12.75" customHeight="1">
      <c r="A770" s="167"/>
      <c r="B770" s="167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78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</row>
    <row r="771" spans="1:41" ht="12.75" customHeight="1">
      <c r="A771" s="167"/>
      <c r="B771" s="167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78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</row>
    <row r="772" spans="1:41" ht="12.75" customHeight="1">
      <c r="A772" s="167"/>
      <c r="B772" s="167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78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</row>
    <row r="773" spans="1:41" ht="12.75" customHeight="1">
      <c r="A773" s="167"/>
      <c r="B773" s="167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78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</row>
    <row r="774" spans="1:41" ht="12.75" customHeight="1">
      <c r="A774" s="167"/>
      <c r="B774" s="167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78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</row>
    <row r="775" spans="1:41" ht="12.75" customHeight="1">
      <c r="A775" s="167"/>
      <c r="B775" s="167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78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</row>
    <row r="776" spans="1:41" ht="12.75" customHeight="1">
      <c r="A776" s="167"/>
      <c r="B776" s="167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78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</row>
    <row r="777" spans="1:41" ht="12.75" customHeight="1">
      <c r="A777" s="167"/>
      <c r="B777" s="167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78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</row>
    <row r="778" spans="1:41" ht="12.75" customHeight="1">
      <c r="A778" s="167"/>
      <c r="B778" s="167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78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</row>
    <row r="779" spans="1:41" ht="12.75" customHeight="1">
      <c r="A779" s="167"/>
      <c r="B779" s="167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78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</row>
    <row r="780" spans="1:41" ht="12.75" customHeight="1">
      <c r="A780" s="167"/>
      <c r="B780" s="167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78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</row>
    <row r="781" spans="1:41" ht="12.75" customHeight="1">
      <c r="A781" s="167"/>
      <c r="B781" s="167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78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</row>
    <row r="782" spans="1:41" ht="12.75" customHeight="1">
      <c r="A782" s="167"/>
      <c r="B782" s="167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78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</row>
    <row r="783" spans="1:41" ht="12.75" customHeight="1">
      <c r="A783" s="167"/>
      <c r="B783" s="167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78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</row>
    <row r="784" spans="1:41" ht="12.75" customHeight="1">
      <c r="A784" s="167"/>
      <c r="B784" s="167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78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</row>
    <row r="785" spans="1:41" ht="12.75" customHeight="1">
      <c r="A785" s="167"/>
      <c r="B785" s="167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78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</row>
    <row r="786" spans="1:41" ht="12.75" customHeight="1">
      <c r="A786" s="167"/>
      <c r="B786" s="167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78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</row>
    <row r="787" spans="1:41" ht="12.75" customHeight="1">
      <c r="A787" s="167"/>
      <c r="B787" s="167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78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</row>
    <row r="788" spans="1:41" ht="12.75" customHeight="1">
      <c r="A788" s="167"/>
      <c r="B788" s="167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78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</row>
    <row r="789" spans="1:41" ht="12.75" customHeight="1">
      <c r="A789" s="167"/>
      <c r="B789" s="167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78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</row>
    <row r="790" spans="1:41" ht="12.75" customHeight="1">
      <c r="A790" s="167"/>
      <c r="B790" s="167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78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</row>
    <row r="791" spans="1:41" ht="12.75" customHeight="1">
      <c r="A791" s="167"/>
      <c r="B791" s="167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78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</row>
    <row r="792" spans="1:41" ht="12.75" customHeight="1">
      <c r="A792" s="167"/>
      <c r="B792" s="167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78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</row>
    <row r="793" spans="1:41" ht="12.75" customHeight="1">
      <c r="A793" s="167"/>
      <c r="B793" s="167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78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</row>
    <row r="794" spans="1:41" ht="12.75" customHeight="1">
      <c r="A794" s="167"/>
      <c r="B794" s="167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78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</row>
    <row r="795" spans="1:41" ht="12.75" customHeight="1">
      <c r="A795" s="167"/>
      <c r="B795" s="167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78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</row>
    <row r="796" spans="1:41" ht="12.75" customHeight="1">
      <c r="A796" s="167"/>
      <c r="B796" s="167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78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</row>
    <row r="797" spans="1:41" ht="12.75" customHeight="1">
      <c r="A797" s="167"/>
      <c r="B797" s="167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78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</row>
    <row r="798" spans="1:41" ht="12.75" customHeight="1">
      <c r="A798" s="167"/>
      <c r="B798" s="167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78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</row>
    <row r="799" spans="1:41" ht="12.75" customHeight="1">
      <c r="A799" s="167"/>
      <c r="B799" s="167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78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</row>
    <row r="800" spans="1:41" ht="12.75" customHeight="1">
      <c r="A800" s="167"/>
      <c r="B800" s="167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78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</row>
    <row r="801" spans="1:41" ht="12.75" customHeight="1">
      <c r="A801" s="167"/>
      <c r="B801" s="167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78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</row>
    <row r="802" spans="1:41" ht="12.75" customHeight="1">
      <c r="A802" s="167"/>
      <c r="B802" s="167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78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</row>
    <row r="803" spans="1:41" ht="12.75" customHeight="1">
      <c r="A803" s="167"/>
      <c r="B803" s="167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78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</row>
    <row r="804" spans="1:41" ht="12.75" customHeight="1">
      <c r="A804" s="167"/>
      <c r="B804" s="167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78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</row>
    <row r="805" spans="1:41" ht="12.75" customHeight="1">
      <c r="A805" s="167"/>
      <c r="B805" s="167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78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</row>
    <row r="806" spans="1:41" ht="12.75" customHeight="1">
      <c r="A806" s="167"/>
      <c r="B806" s="167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78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</row>
    <row r="807" spans="1:41" ht="12.75" customHeight="1">
      <c r="A807" s="167"/>
      <c r="B807" s="167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78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</row>
    <row r="808" spans="1:41" ht="12.75" customHeight="1">
      <c r="A808" s="167"/>
      <c r="B808" s="167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78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</row>
    <row r="809" spans="1:41" ht="12.75" customHeight="1">
      <c r="A809" s="167"/>
      <c r="B809" s="167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78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</row>
    <row r="810" spans="1:41" ht="12.75" customHeight="1">
      <c r="A810" s="167"/>
      <c r="B810" s="167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78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</row>
    <row r="811" spans="1:41" ht="12.75" customHeight="1">
      <c r="A811" s="167"/>
      <c r="B811" s="167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78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</row>
    <row r="812" spans="1:41" ht="12.75" customHeight="1">
      <c r="A812" s="167"/>
      <c r="B812" s="167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78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</row>
    <row r="813" spans="1:41" ht="12.75" customHeight="1">
      <c r="A813" s="167"/>
      <c r="B813" s="167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78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</row>
    <row r="814" spans="1:41" ht="12.75" customHeight="1">
      <c r="A814" s="167"/>
      <c r="B814" s="167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78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</row>
    <row r="815" spans="1:41" ht="12.75" customHeight="1">
      <c r="A815" s="167"/>
      <c r="B815" s="167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78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</row>
    <row r="816" spans="1:41" ht="12.75" customHeight="1">
      <c r="A816" s="167"/>
      <c r="B816" s="167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78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</row>
    <row r="817" spans="1:41" ht="12.75" customHeight="1">
      <c r="A817" s="167"/>
      <c r="B817" s="167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78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</row>
    <row r="818" spans="1:41" ht="12.75" customHeight="1">
      <c r="A818" s="167"/>
      <c r="B818" s="167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78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</row>
    <row r="819" spans="1:41" ht="12.75" customHeight="1">
      <c r="A819" s="167"/>
      <c r="B819" s="167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78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</row>
    <row r="820" spans="1:41" ht="12.75" customHeight="1">
      <c r="A820" s="167"/>
      <c r="B820" s="167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78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</row>
    <row r="821" spans="1:41" ht="12.75" customHeight="1">
      <c r="A821" s="167"/>
      <c r="B821" s="167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78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</row>
    <row r="822" spans="1:41" ht="12.75" customHeight="1">
      <c r="A822" s="167"/>
      <c r="B822" s="167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78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</row>
    <row r="823" spans="1:41" ht="12.75" customHeight="1">
      <c r="A823" s="167"/>
      <c r="B823" s="167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78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</row>
    <row r="824" spans="1:41" ht="12.75" customHeight="1">
      <c r="A824" s="167"/>
      <c r="B824" s="167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78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</row>
    <row r="825" spans="1:41" ht="12.75" customHeight="1">
      <c r="A825" s="167"/>
      <c r="B825" s="167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78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</row>
    <row r="826" spans="1:41" ht="12.75" customHeight="1">
      <c r="A826" s="167"/>
      <c r="B826" s="167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78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</row>
    <row r="827" spans="1:41" ht="12.75" customHeight="1">
      <c r="A827" s="167"/>
      <c r="B827" s="167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78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</row>
    <row r="828" spans="1:41" ht="12.75" customHeight="1">
      <c r="A828" s="167"/>
      <c r="B828" s="167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78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</row>
    <row r="829" spans="1:41" ht="12.75" customHeight="1">
      <c r="A829" s="167"/>
      <c r="B829" s="167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78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</row>
    <row r="830" spans="1:41" ht="12.75" customHeight="1">
      <c r="A830" s="167"/>
      <c r="B830" s="167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78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</row>
    <row r="831" spans="1:41" ht="12.75" customHeight="1">
      <c r="A831" s="167"/>
      <c r="B831" s="167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78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</row>
    <row r="832" spans="1:41" ht="12.75" customHeight="1">
      <c r="A832" s="167"/>
      <c r="B832" s="167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78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</row>
    <row r="833" spans="1:41" ht="12.75" customHeight="1">
      <c r="A833" s="167"/>
      <c r="B833" s="167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78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</row>
    <row r="834" spans="1:41" ht="12.75" customHeight="1">
      <c r="A834" s="167"/>
      <c r="B834" s="167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78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</row>
    <row r="835" spans="1:41" ht="12.75" customHeight="1">
      <c r="A835" s="167"/>
      <c r="B835" s="167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78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</row>
    <row r="836" spans="1:41" ht="12.75" customHeight="1">
      <c r="A836" s="167"/>
      <c r="B836" s="167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78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</row>
    <row r="837" spans="1:41" ht="12.75" customHeight="1">
      <c r="A837" s="167"/>
      <c r="B837" s="167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78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</row>
    <row r="838" spans="1:41" ht="12.75" customHeight="1">
      <c r="A838" s="167"/>
      <c r="B838" s="167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78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</row>
    <row r="839" spans="1:41" ht="12.75" customHeight="1">
      <c r="A839" s="167"/>
      <c r="B839" s="167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78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</row>
    <row r="840" spans="1:41" ht="12.75" customHeight="1">
      <c r="A840" s="167"/>
      <c r="B840" s="167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78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</row>
    <row r="841" spans="1:41" ht="12.75" customHeight="1">
      <c r="A841" s="167"/>
      <c r="B841" s="167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78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</row>
    <row r="842" spans="1:41" ht="12.75" customHeight="1">
      <c r="A842" s="167"/>
      <c r="B842" s="167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78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</row>
    <row r="843" spans="1:41" ht="12.75" customHeight="1">
      <c r="A843" s="167"/>
      <c r="B843" s="167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78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</row>
    <row r="844" spans="1:41" ht="12.75" customHeight="1">
      <c r="A844" s="167"/>
      <c r="B844" s="167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78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</row>
    <row r="845" spans="1:41" ht="12.75" customHeight="1">
      <c r="A845" s="167"/>
      <c r="B845" s="167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78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</row>
    <row r="846" spans="1:41" ht="12.75" customHeight="1">
      <c r="A846" s="167"/>
      <c r="B846" s="167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78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</row>
    <row r="847" spans="1:41" ht="12.75" customHeight="1">
      <c r="A847" s="167"/>
      <c r="B847" s="167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78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</row>
    <row r="848" spans="1:41" ht="12.75" customHeight="1">
      <c r="A848" s="167"/>
      <c r="B848" s="167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78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</row>
    <row r="849" spans="1:41" ht="12.75" customHeight="1">
      <c r="A849" s="167"/>
      <c r="B849" s="167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78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</row>
    <row r="850" spans="1:41" ht="12.75" customHeight="1">
      <c r="A850" s="167"/>
      <c r="B850" s="167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78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</row>
    <row r="851" spans="1:41" ht="12.75" customHeight="1">
      <c r="A851" s="167"/>
      <c r="B851" s="167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78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</row>
    <row r="852" spans="1:41" ht="12.75" customHeight="1">
      <c r="A852" s="167"/>
      <c r="B852" s="167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78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</row>
    <row r="853" spans="1:41" ht="12.75" customHeight="1">
      <c r="A853" s="167"/>
      <c r="B853" s="167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78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</row>
    <row r="854" spans="1:41" ht="12.75" customHeight="1">
      <c r="A854" s="167"/>
      <c r="B854" s="167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78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</row>
    <row r="855" spans="1:41" ht="12.75" customHeight="1">
      <c r="A855" s="167"/>
      <c r="B855" s="167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78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</row>
    <row r="856" spans="1:41" ht="12.75" customHeight="1">
      <c r="A856" s="167"/>
      <c r="B856" s="167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78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</row>
    <row r="857" spans="1:41" ht="12.75" customHeight="1">
      <c r="A857" s="167"/>
      <c r="B857" s="167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78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</row>
    <row r="858" spans="1:41" ht="12.75" customHeight="1">
      <c r="A858" s="167"/>
      <c r="B858" s="167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78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</row>
    <row r="859" spans="1:41" ht="12.75" customHeight="1">
      <c r="A859" s="167"/>
      <c r="B859" s="167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78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</row>
    <row r="860" spans="1:41" ht="12.75" customHeight="1">
      <c r="A860" s="167"/>
      <c r="B860" s="167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78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</row>
    <row r="861" spans="1:41" ht="12.75" customHeight="1">
      <c r="A861" s="167"/>
      <c r="B861" s="167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78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</row>
    <row r="862" spans="1:41" ht="12.75" customHeight="1">
      <c r="A862" s="167"/>
      <c r="B862" s="167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78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</row>
    <row r="863" spans="1:41" ht="12.75" customHeight="1">
      <c r="A863" s="167"/>
      <c r="B863" s="167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78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</row>
    <row r="864" spans="1:41" ht="12.75" customHeight="1">
      <c r="A864" s="167"/>
      <c r="B864" s="167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78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</row>
    <row r="865" spans="1:41" ht="12.75" customHeight="1">
      <c r="A865" s="167"/>
      <c r="B865" s="167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78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</row>
    <row r="866" spans="1:41" ht="12.75" customHeight="1">
      <c r="A866" s="167"/>
      <c r="B866" s="167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78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</row>
    <row r="867" spans="1:41" ht="12.75" customHeight="1">
      <c r="A867" s="167"/>
      <c r="B867" s="167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78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</row>
    <row r="868" spans="1:41" ht="12.75" customHeight="1">
      <c r="A868" s="167"/>
      <c r="B868" s="167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78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</row>
    <row r="869" spans="1:41" ht="12.75" customHeight="1">
      <c r="A869" s="167"/>
      <c r="B869" s="167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78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</row>
    <row r="870" spans="1:41" ht="12.75" customHeight="1">
      <c r="A870" s="167"/>
      <c r="B870" s="167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78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</row>
    <row r="871" spans="1:41" ht="12.75" customHeight="1">
      <c r="A871" s="167"/>
      <c r="B871" s="167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78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</row>
    <row r="872" spans="1:41" ht="12.75" customHeight="1">
      <c r="A872" s="167"/>
      <c r="B872" s="167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78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</row>
    <row r="873" spans="1:41" ht="12.75" customHeight="1">
      <c r="A873" s="167"/>
      <c r="B873" s="167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78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</row>
    <row r="874" spans="1:41" ht="12.75" customHeight="1">
      <c r="A874" s="167"/>
      <c r="B874" s="167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78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</row>
    <row r="875" spans="1:41" ht="12.75" customHeight="1">
      <c r="A875" s="167"/>
      <c r="B875" s="167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78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</row>
    <row r="876" spans="1:41" ht="12.75" customHeight="1">
      <c r="A876" s="167"/>
      <c r="B876" s="167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78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</row>
    <row r="877" spans="1:41" ht="12.75" customHeight="1">
      <c r="A877" s="167"/>
      <c r="B877" s="167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78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</row>
    <row r="878" spans="1:41" ht="12.75" customHeight="1">
      <c r="A878" s="167"/>
      <c r="B878" s="167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78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</row>
    <row r="879" spans="1:41" ht="12.75" customHeight="1">
      <c r="A879" s="167"/>
      <c r="B879" s="167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78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</row>
    <row r="880" spans="1:41" ht="12.75" customHeight="1">
      <c r="A880" s="167"/>
      <c r="B880" s="167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78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</row>
    <row r="881" spans="1:41" ht="12.75" customHeight="1">
      <c r="A881" s="167"/>
      <c r="B881" s="167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78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</row>
    <row r="882" spans="1:41" ht="12.75" customHeight="1">
      <c r="A882" s="167"/>
      <c r="B882" s="167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78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</row>
    <row r="883" spans="1:41" ht="12.75" customHeight="1">
      <c r="A883" s="167"/>
      <c r="B883" s="167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78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</row>
    <row r="884" spans="1:41" ht="12.75" customHeight="1">
      <c r="A884" s="167"/>
      <c r="B884" s="167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78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</row>
    <row r="885" spans="1:41" ht="12.75" customHeight="1">
      <c r="A885" s="167"/>
      <c r="B885" s="167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78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</row>
    <row r="886" spans="1:41" ht="12.75" customHeight="1">
      <c r="A886" s="167"/>
      <c r="B886" s="167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78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</row>
    <row r="887" spans="1:41" ht="12.75" customHeight="1">
      <c r="A887" s="167"/>
      <c r="B887" s="167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78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</row>
    <row r="888" spans="1:41" ht="12.75" customHeight="1">
      <c r="A888" s="167"/>
      <c r="B888" s="167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78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</row>
    <row r="889" spans="1:41" ht="12.75" customHeight="1">
      <c r="A889" s="167"/>
      <c r="B889" s="167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78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</row>
    <row r="890" spans="1:41" ht="12.75" customHeight="1">
      <c r="A890" s="167"/>
      <c r="B890" s="167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78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</row>
    <row r="891" spans="1:41" ht="12.75" customHeight="1">
      <c r="A891" s="167"/>
      <c r="B891" s="167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78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</row>
    <row r="892" spans="1:41" ht="12.75" customHeight="1">
      <c r="A892" s="167"/>
      <c r="B892" s="167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78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</row>
    <row r="893" spans="1:41" ht="12.75" customHeight="1">
      <c r="A893" s="167"/>
      <c r="B893" s="167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78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</row>
    <row r="894" spans="1:41" ht="12.75" customHeight="1">
      <c r="A894" s="167"/>
      <c r="B894" s="167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78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</row>
    <row r="895" spans="1:41" ht="12.75" customHeight="1">
      <c r="A895" s="167"/>
      <c r="B895" s="167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78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</row>
    <row r="896" spans="1:41" ht="12.75" customHeight="1">
      <c r="A896" s="167"/>
      <c r="B896" s="167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78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</row>
    <row r="897" spans="1:41" ht="12.75" customHeight="1">
      <c r="A897" s="167"/>
      <c r="B897" s="167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78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</row>
    <row r="898" spans="1:41" ht="12.75" customHeight="1">
      <c r="A898" s="167"/>
      <c r="B898" s="167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78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</row>
    <row r="899" spans="1:41" ht="12.75" customHeight="1">
      <c r="A899" s="167"/>
      <c r="B899" s="167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78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</row>
    <row r="900" spans="1:41" ht="12.75" customHeight="1">
      <c r="A900" s="167"/>
      <c r="B900" s="167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78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</row>
    <row r="901" spans="1:41" ht="12.75" customHeight="1">
      <c r="A901" s="167"/>
      <c r="B901" s="167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78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</row>
    <row r="902" spans="1:41" ht="12.75" customHeight="1">
      <c r="A902" s="167"/>
      <c r="B902" s="167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78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</row>
    <row r="903" spans="1:41" ht="12.75" customHeight="1">
      <c r="A903" s="167"/>
      <c r="B903" s="167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78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</row>
    <row r="904" spans="1:41" ht="12.75" customHeight="1">
      <c r="A904" s="167"/>
      <c r="B904" s="167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78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</row>
    <row r="905" spans="1:41" ht="12.75" customHeight="1">
      <c r="A905" s="167"/>
      <c r="B905" s="167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78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</row>
    <row r="906" spans="1:41" ht="12.75" customHeight="1">
      <c r="A906" s="167"/>
      <c r="B906" s="167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78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</row>
    <row r="907" spans="1:41" ht="12.75" customHeight="1">
      <c r="A907" s="167"/>
      <c r="B907" s="167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78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</row>
    <row r="908" spans="1:41" ht="12.75" customHeight="1">
      <c r="A908" s="167"/>
      <c r="B908" s="167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78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</row>
    <row r="909" spans="1:41" ht="12.75" customHeight="1">
      <c r="A909" s="167"/>
      <c r="B909" s="167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78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</row>
    <row r="910" spans="1:41" ht="12.75" customHeight="1">
      <c r="A910" s="167"/>
      <c r="B910" s="167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78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</row>
    <row r="911" spans="1:41" ht="12.75" customHeight="1">
      <c r="A911" s="167"/>
      <c r="B911" s="167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78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</row>
    <row r="912" spans="1:41" ht="12.75" customHeight="1">
      <c r="A912" s="167"/>
      <c r="B912" s="167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78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</row>
    <row r="913" spans="1:41" ht="12.75" customHeight="1">
      <c r="A913" s="167"/>
      <c r="B913" s="167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78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</row>
    <row r="914" spans="1:41" ht="12.75" customHeight="1">
      <c r="A914" s="167"/>
      <c r="B914" s="167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78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</row>
    <row r="915" spans="1:41" ht="12.75" customHeight="1">
      <c r="A915" s="167"/>
      <c r="B915" s="167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78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</row>
    <row r="916" spans="1:41" ht="12.75" customHeight="1">
      <c r="A916" s="167"/>
      <c r="B916" s="167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78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</row>
    <row r="917" spans="1:41" ht="12.75" customHeight="1">
      <c r="A917" s="167"/>
      <c r="B917" s="167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78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</row>
    <row r="918" spans="1:41" ht="12.75" customHeight="1">
      <c r="A918" s="167"/>
      <c r="B918" s="167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78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</row>
    <row r="919" spans="1:41" ht="12.75" customHeight="1">
      <c r="A919" s="167"/>
      <c r="B919" s="167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78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</row>
    <row r="920" spans="1:41" ht="12.75" customHeight="1">
      <c r="A920" s="167"/>
      <c r="B920" s="167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78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</row>
    <row r="921" spans="1:41" ht="12.75" customHeight="1">
      <c r="A921" s="167"/>
      <c r="B921" s="167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78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</row>
    <row r="922" spans="1:41" ht="12.75" customHeight="1">
      <c r="A922" s="167"/>
      <c r="B922" s="167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78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</row>
    <row r="923" spans="1:41" ht="12.75" customHeight="1">
      <c r="A923" s="167"/>
      <c r="B923" s="167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78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</row>
    <row r="924" spans="1:41" ht="12.75" customHeight="1">
      <c r="A924" s="167"/>
      <c r="B924" s="167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78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</row>
    <row r="925" spans="1:41" ht="12.75" customHeight="1">
      <c r="A925" s="167"/>
      <c r="B925" s="167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78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</row>
    <row r="926" spans="1:41" ht="12.75" customHeight="1">
      <c r="A926" s="167"/>
      <c r="B926" s="167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78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</row>
    <row r="927" spans="1:41" ht="12.75" customHeight="1">
      <c r="A927" s="167"/>
      <c r="B927" s="167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78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</row>
    <row r="928" spans="1:41" ht="12.75" customHeight="1">
      <c r="A928" s="167"/>
      <c r="B928" s="167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78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</row>
    <row r="929" spans="1:41" ht="12.75" customHeight="1">
      <c r="A929" s="167"/>
      <c r="B929" s="167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78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</row>
    <row r="930" spans="1:41" ht="12.75" customHeight="1">
      <c r="A930" s="167"/>
      <c r="B930" s="167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78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</row>
    <row r="931" spans="1:41" ht="12.75" customHeight="1">
      <c r="A931" s="167"/>
      <c r="B931" s="167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78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</row>
    <row r="932" spans="1:41" ht="12.75" customHeight="1">
      <c r="A932" s="167"/>
      <c r="B932" s="167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78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</row>
    <row r="933" spans="1:41" ht="12.75" customHeight="1">
      <c r="A933" s="167"/>
      <c r="B933" s="167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78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</row>
    <row r="934" spans="1:41" ht="12.75" customHeight="1">
      <c r="A934" s="167"/>
      <c r="B934" s="167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78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</row>
    <row r="935" spans="1:41" ht="12.75" customHeight="1">
      <c r="A935" s="167"/>
      <c r="B935" s="167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78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</row>
    <row r="936" spans="1:41" ht="12.75" customHeight="1">
      <c r="A936" s="167"/>
      <c r="B936" s="167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78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</row>
    <row r="937" spans="1:41" ht="12.75" customHeight="1">
      <c r="A937" s="167"/>
      <c r="B937" s="167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78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</row>
    <row r="938" spans="1:41" ht="12.75" customHeight="1">
      <c r="A938" s="167"/>
      <c r="B938" s="167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78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</row>
    <row r="939" spans="1:41" ht="12.75" customHeight="1">
      <c r="A939" s="167"/>
      <c r="B939" s="167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78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</row>
    <row r="940" spans="1:41" ht="12.75" customHeight="1">
      <c r="A940" s="167"/>
      <c r="B940" s="167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78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</row>
    <row r="941" spans="1:41" ht="12.75" customHeight="1">
      <c r="A941" s="167"/>
      <c r="B941" s="167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78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</row>
    <row r="942" spans="1:41" ht="12.75" customHeight="1">
      <c r="A942" s="167"/>
      <c r="B942" s="167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78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</row>
    <row r="943" spans="1:41" ht="12.75" customHeight="1">
      <c r="A943" s="167"/>
      <c r="B943" s="167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78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</row>
    <row r="944" spans="1:41" ht="12.75" customHeight="1">
      <c r="A944" s="167"/>
      <c r="B944" s="167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78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</row>
    <row r="945" spans="1:41" ht="12.75" customHeight="1">
      <c r="A945" s="167"/>
      <c r="B945" s="167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78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</row>
    <row r="946" spans="1:41" ht="12.75" customHeight="1">
      <c r="A946" s="167"/>
      <c r="B946" s="167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78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</row>
    <row r="947" spans="1:41" ht="12.75" customHeight="1">
      <c r="A947" s="167"/>
      <c r="B947" s="167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78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</row>
    <row r="948" spans="1:41" ht="12.75" customHeight="1">
      <c r="A948" s="167"/>
      <c r="B948" s="167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78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</row>
    <row r="949" spans="1:41" ht="12.75" customHeight="1">
      <c r="A949" s="167"/>
      <c r="B949" s="167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78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</row>
    <row r="950" spans="1:41" ht="12.75" customHeight="1">
      <c r="A950" s="167"/>
      <c r="B950" s="167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78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</row>
    <row r="951" spans="1:41" ht="12.75" customHeight="1">
      <c r="A951" s="167"/>
      <c r="B951" s="167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78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</row>
    <row r="952" spans="1:41" ht="12.75" customHeight="1">
      <c r="A952" s="167"/>
      <c r="B952" s="167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78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</row>
    <row r="953" spans="1:41" ht="12.75" customHeight="1">
      <c r="A953" s="167"/>
      <c r="B953" s="167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78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</row>
    <row r="954" spans="1:41" ht="12.75" customHeight="1">
      <c r="A954" s="167"/>
      <c r="B954" s="167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78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</row>
    <row r="955" spans="1:41" ht="12.75" customHeight="1">
      <c r="A955" s="167"/>
      <c r="B955" s="167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78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</row>
    <row r="956" spans="1:41" ht="12.75" customHeight="1">
      <c r="A956" s="167"/>
      <c r="B956" s="167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78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</row>
    <row r="957" spans="1:41" ht="12.75" customHeight="1">
      <c r="A957" s="167"/>
      <c r="B957" s="167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78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</row>
    <row r="958" spans="1:41" ht="12.75" customHeight="1">
      <c r="A958" s="167"/>
      <c r="B958" s="167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78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</row>
    <row r="959" spans="1:41" ht="12.75" customHeight="1">
      <c r="A959" s="167"/>
      <c r="B959" s="167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78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</row>
    <row r="960" spans="1:41" ht="12.75" customHeight="1">
      <c r="A960" s="167"/>
      <c r="B960" s="167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78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</row>
    <row r="961" spans="1:41" ht="12.75" customHeight="1">
      <c r="A961" s="167"/>
      <c r="B961" s="167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78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</row>
    <row r="962" spans="1:41" ht="12.75" customHeight="1">
      <c r="A962" s="167"/>
      <c r="B962" s="167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78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</row>
    <row r="963" spans="1:41" ht="12.75" customHeight="1">
      <c r="A963" s="167"/>
      <c r="B963" s="167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78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</row>
    <row r="964" spans="1:41" ht="12.75" customHeight="1">
      <c r="A964" s="167"/>
      <c r="B964" s="167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78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</row>
    <row r="965" spans="1:41" ht="12.75" customHeight="1">
      <c r="A965" s="167"/>
      <c r="B965" s="167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78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</row>
    <row r="966" spans="1:41" ht="12.75" customHeight="1">
      <c r="A966" s="167"/>
      <c r="B966" s="167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78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</row>
    <row r="967" spans="1:41" ht="12.75" customHeight="1">
      <c r="A967" s="167"/>
      <c r="B967" s="167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78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</row>
    <row r="968" spans="1:41" ht="12.75" customHeight="1">
      <c r="A968" s="167"/>
      <c r="B968" s="167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78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</row>
    <row r="969" spans="1:41" ht="12.75" customHeight="1">
      <c r="A969" s="167"/>
      <c r="B969" s="167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78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</row>
    <row r="970" spans="1:41" ht="12.75" customHeight="1">
      <c r="A970" s="167"/>
      <c r="B970" s="167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78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</row>
    <row r="971" spans="1:41" ht="12.75" customHeight="1">
      <c r="A971" s="167"/>
      <c r="B971" s="167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78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</row>
    <row r="972" spans="1:41" ht="12.75" customHeight="1">
      <c r="A972" s="167"/>
      <c r="B972" s="167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78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</row>
    <row r="973" spans="1:41" ht="12.75" customHeight="1">
      <c r="A973" s="167"/>
      <c r="B973" s="167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78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</row>
    <row r="974" spans="1:41" ht="12.75" customHeight="1">
      <c r="A974" s="167"/>
      <c r="B974" s="167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78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</row>
    <row r="975" spans="1:41" ht="12.75" customHeight="1">
      <c r="A975" s="167"/>
      <c r="B975" s="167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78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</row>
    <row r="976" spans="1:41" ht="12.75" customHeight="1">
      <c r="A976" s="167"/>
      <c r="B976" s="167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78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</row>
    <row r="977" spans="1:41" ht="12.75" customHeight="1">
      <c r="A977" s="167"/>
      <c r="B977" s="167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78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</row>
    <row r="978" spans="1:41" ht="12.75" customHeight="1">
      <c r="A978" s="167"/>
      <c r="B978" s="167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78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</row>
    <row r="979" spans="1:41" ht="12.75" customHeight="1">
      <c r="A979" s="167"/>
      <c r="B979" s="167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78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</row>
    <row r="980" spans="1:41" ht="12.75" customHeight="1">
      <c r="A980" s="167"/>
      <c r="B980" s="167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78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</row>
    <row r="981" spans="1:41" ht="12.75" customHeight="1">
      <c r="A981" s="167"/>
      <c r="B981" s="167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78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</row>
    <row r="982" spans="1:41" ht="12.75" customHeight="1">
      <c r="A982" s="167"/>
      <c r="B982" s="167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78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</row>
    <row r="983" spans="1:41" ht="12.75" customHeight="1">
      <c r="A983" s="167"/>
      <c r="B983" s="167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78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</row>
    <row r="984" spans="1:41" ht="12.75" customHeight="1">
      <c r="A984" s="167"/>
      <c r="B984" s="167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78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</row>
    <row r="985" spans="1:41" ht="12.75" customHeight="1">
      <c r="A985" s="167"/>
      <c r="B985" s="167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78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</row>
    <row r="986" spans="1:41" ht="12.75" customHeight="1">
      <c r="A986" s="167"/>
      <c r="B986" s="167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78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</row>
    <row r="987" spans="1:41" ht="12.75" customHeight="1">
      <c r="A987" s="167"/>
      <c r="B987" s="167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78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</row>
    <row r="988" spans="1:41" ht="12.75" customHeight="1">
      <c r="A988" s="167"/>
      <c r="B988" s="167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78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</row>
    <row r="989" spans="1:41" ht="12.75" customHeight="1">
      <c r="A989" s="167"/>
      <c r="B989" s="167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78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</row>
    <row r="990" spans="1:41" ht="12.75" customHeight="1">
      <c r="A990" s="167"/>
      <c r="B990" s="167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78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</row>
    <row r="991" spans="1:41" ht="12.75" customHeight="1">
      <c r="A991" s="167"/>
      <c r="B991" s="167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78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</row>
    <row r="992" spans="1:41" ht="12.75" customHeight="1">
      <c r="A992" s="167"/>
      <c r="B992" s="167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78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</row>
    <row r="993" spans="1:41" ht="12.75" customHeight="1">
      <c r="A993" s="167"/>
      <c r="B993" s="167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78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</row>
    <row r="994" spans="1:41" ht="12.75" customHeight="1">
      <c r="A994" s="167"/>
      <c r="B994" s="167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78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</row>
    <row r="995" spans="1:41" ht="12.75" customHeight="1">
      <c r="A995" s="167"/>
      <c r="B995" s="167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78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</row>
    <row r="996" spans="1:41" ht="12.75" customHeight="1">
      <c r="A996" s="167"/>
      <c r="B996" s="167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78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</row>
    <row r="997" spans="1:41" ht="12.75" customHeight="1">
      <c r="A997" s="167"/>
      <c r="B997" s="167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78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</row>
    <row r="998" spans="1:41" ht="12.75" customHeight="1">
      <c r="A998" s="167"/>
      <c r="B998" s="167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78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</row>
    <row r="999" spans="1:41" ht="12.75" customHeight="1">
      <c r="A999" s="167"/>
      <c r="B999" s="167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78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</row>
    <row r="1000" spans="1:41" ht="12.75" customHeight="1">
      <c r="A1000" s="167"/>
      <c r="B1000" s="167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78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</row>
  </sheetData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00"/>
  <sheetViews>
    <sheetView workbookViewId="0"/>
  </sheetViews>
  <sheetFormatPr defaultColWidth="14.42578125" defaultRowHeight="15" customHeight="1"/>
  <cols>
    <col min="1" max="1" width="28" customWidth="1"/>
    <col min="2" max="2" width="20.42578125" customWidth="1"/>
    <col min="3" max="4" width="11.140625" customWidth="1"/>
    <col min="5" max="5" width="13.7109375" customWidth="1"/>
    <col min="6" max="8" width="11.140625" customWidth="1"/>
    <col min="9" max="10" width="18.5703125" customWidth="1"/>
    <col min="11" max="12" width="19.5703125" customWidth="1"/>
    <col min="13" max="14" width="19.140625" customWidth="1"/>
    <col min="15" max="16" width="19.5703125" customWidth="1"/>
    <col min="17" max="24" width="12.140625" customWidth="1"/>
    <col min="25" max="26" width="14.28515625" customWidth="1"/>
    <col min="27" max="30" width="15.28515625" customWidth="1"/>
    <col min="31" max="32" width="15.7109375" customWidth="1"/>
    <col min="33" max="34" width="18.42578125" customWidth="1"/>
    <col min="35" max="36" width="18.7109375" customWidth="1"/>
    <col min="37" max="38" width="15.42578125" customWidth="1"/>
    <col min="39" max="40" width="12.140625" customWidth="1"/>
    <col min="41" max="41" width="8.7109375" customWidth="1"/>
    <col min="42" max="42" width="175.7109375" customWidth="1"/>
  </cols>
  <sheetData>
    <row r="1" spans="1:40" ht="46.5">
      <c r="A1" s="220" t="s">
        <v>176</v>
      </c>
      <c r="B1" s="33"/>
      <c r="C1" s="33"/>
      <c r="D1" s="33"/>
      <c r="E1" s="33"/>
      <c r="F1" s="33"/>
      <c r="G1" s="33" t="s">
        <v>177</v>
      </c>
      <c r="H1" s="33" t="s">
        <v>178</v>
      </c>
      <c r="I1" s="221" t="s">
        <v>179</v>
      </c>
      <c r="J1" s="221" t="s">
        <v>179</v>
      </c>
      <c r="K1" s="221" t="s">
        <v>180</v>
      </c>
      <c r="L1" s="221" t="s">
        <v>180</v>
      </c>
      <c r="M1" s="221" t="s">
        <v>181</v>
      </c>
      <c r="N1" s="221" t="s">
        <v>181</v>
      </c>
      <c r="O1" s="221" t="s">
        <v>182</v>
      </c>
      <c r="P1" s="221" t="s">
        <v>182</v>
      </c>
      <c r="Q1" s="221" t="s">
        <v>183</v>
      </c>
      <c r="R1" s="221" t="s">
        <v>183</v>
      </c>
      <c r="S1" s="221" t="s">
        <v>184</v>
      </c>
      <c r="T1" s="221" t="s">
        <v>184</v>
      </c>
      <c r="U1" s="221" t="s">
        <v>185</v>
      </c>
      <c r="V1" s="221" t="s">
        <v>185</v>
      </c>
      <c r="W1" s="221" t="s">
        <v>186</v>
      </c>
      <c r="X1" s="221" t="s">
        <v>186</v>
      </c>
      <c r="Y1" s="221" t="s">
        <v>187</v>
      </c>
      <c r="Z1" s="221" t="s">
        <v>187</v>
      </c>
      <c r="AA1" s="221" t="s">
        <v>188</v>
      </c>
      <c r="AB1" s="221" t="s">
        <v>188</v>
      </c>
      <c r="AC1" s="221" t="s">
        <v>189</v>
      </c>
      <c r="AD1" s="221" t="s">
        <v>189</v>
      </c>
      <c r="AE1" s="221" t="s">
        <v>190</v>
      </c>
      <c r="AF1" s="221" t="s">
        <v>190</v>
      </c>
      <c r="AG1" s="221" t="s">
        <v>191</v>
      </c>
      <c r="AH1" s="221" t="s">
        <v>191</v>
      </c>
      <c r="AI1" s="221" t="s">
        <v>192</v>
      </c>
      <c r="AJ1" s="221" t="s">
        <v>192</v>
      </c>
      <c r="AK1" s="221" t="s">
        <v>193</v>
      </c>
      <c r="AL1" s="221" t="s">
        <v>193</v>
      </c>
      <c r="AM1" s="221" t="s">
        <v>194</v>
      </c>
      <c r="AN1" s="221" t="s">
        <v>194</v>
      </c>
    </row>
    <row r="2" spans="1:40">
      <c r="A2" s="153" t="s">
        <v>195</v>
      </c>
      <c r="B2" s="153"/>
      <c r="C2" s="33"/>
      <c r="D2" s="33" t="s">
        <v>196</v>
      </c>
      <c r="E2" s="222" t="s">
        <v>197</v>
      </c>
      <c r="F2" s="33"/>
      <c r="G2" s="223" t="s">
        <v>198</v>
      </c>
      <c r="H2" s="32">
        <v>1</v>
      </c>
      <c r="I2" s="223" t="s">
        <v>199</v>
      </c>
      <c r="J2" s="32">
        <v>0.8</v>
      </c>
      <c r="K2" s="223" t="s">
        <v>199</v>
      </c>
      <c r="L2" s="32">
        <v>0.7</v>
      </c>
      <c r="M2" s="223" t="s">
        <v>199</v>
      </c>
      <c r="N2" s="32">
        <v>0.8</v>
      </c>
      <c r="O2" s="223" t="s">
        <v>199</v>
      </c>
      <c r="P2" s="32">
        <v>0.8</v>
      </c>
      <c r="Q2" s="223" t="s">
        <v>199</v>
      </c>
      <c r="R2" s="32">
        <v>0.7</v>
      </c>
      <c r="S2" s="223" t="s">
        <v>199</v>
      </c>
      <c r="T2" s="32">
        <v>0.6</v>
      </c>
      <c r="U2" s="223" t="s">
        <v>199</v>
      </c>
      <c r="V2" s="32">
        <v>0.7</v>
      </c>
      <c r="W2" s="223" t="s">
        <v>199</v>
      </c>
      <c r="X2" s="32">
        <v>0.8</v>
      </c>
      <c r="Y2" s="223" t="s">
        <v>199</v>
      </c>
      <c r="Z2" s="32">
        <v>0.6</v>
      </c>
      <c r="AA2" s="223" t="s">
        <v>199</v>
      </c>
      <c r="AB2" s="32">
        <v>0.5</v>
      </c>
      <c r="AC2" s="223" t="s">
        <v>199</v>
      </c>
      <c r="AD2" s="32">
        <v>0.5</v>
      </c>
      <c r="AE2" s="223" t="s">
        <v>199</v>
      </c>
      <c r="AF2" s="32">
        <v>0.5</v>
      </c>
      <c r="AG2" s="223" t="s">
        <v>199</v>
      </c>
      <c r="AH2" s="32">
        <v>0.3</v>
      </c>
      <c r="AI2" s="223" t="s">
        <v>199</v>
      </c>
      <c r="AJ2" s="32">
        <v>0.4</v>
      </c>
      <c r="AK2" s="223" t="s">
        <v>199</v>
      </c>
      <c r="AL2" s="32">
        <v>0.5</v>
      </c>
      <c r="AM2" s="223" t="s">
        <v>199</v>
      </c>
      <c r="AN2" s="32">
        <v>0.7</v>
      </c>
    </row>
    <row r="3" spans="1:40">
      <c r="C3" s="33"/>
      <c r="D3" s="33"/>
      <c r="E3" s="33"/>
      <c r="F3" s="33"/>
      <c r="G3" s="224"/>
      <c r="H3" s="221"/>
      <c r="I3" s="224"/>
      <c r="J3" s="33"/>
      <c r="K3" s="224"/>
      <c r="L3" s="33"/>
      <c r="M3" s="224"/>
      <c r="N3" s="33"/>
      <c r="O3" s="224"/>
      <c r="P3" s="33"/>
      <c r="Q3" s="224"/>
      <c r="R3" s="33"/>
      <c r="S3" s="224"/>
      <c r="T3" s="33"/>
      <c r="U3" s="224"/>
      <c r="V3" s="33"/>
      <c r="W3" s="224"/>
      <c r="X3" s="33"/>
      <c r="Y3" s="224"/>
      <c r="Z3" s="33"/>
      <c r="AA3" s="224"/>
      <c r="AB3" s="33"/>
      <c r="AC3" s="224"/>
      <c r="AD3" s="33"/>
      <c r="AE3" s="224"/>
      <c r="AF3" s="33"/>
      <c r="AG3" s="224"/>
      <c r="AH3" s="33"/>
      <c r="AI3" s="224"/>
      <c r="AJ3" s="33"/>
      <c r="AK3" s="224"/>
      <c r="AL3" s="33"/>
      <c r="AM3" s="224"/>
      <c r="AN3" s="33"/>
    </row>
    <row r="4" spans="1:40">
      <c r="A4" s="225" t="s">
        <v>200</v>
      </c>
      <c r="B4" s="225" t="s">
        <v>201</v>
      </c>
      <c r="C4" s="91" t="s">
        <v>202</v>
      </c>
      <c r="D4" s="91" t="s">
        <v>203</v>
      </c>
      <c r="E4" s="91" t="s">
        <v>204</v>
      </c>
      <c r="F4" s="91" t="s">
        <v>205</v>
      </c>
      <c r="G4" s="226" t="s">
        <v>206</v>
      </c>
      <c r="H4" s="91" t="s">
        <v>207</v>
      </c>
      <c r="I4" s="226" t="s">
        <v>208</v>
      </c>
      <c r="J4" s="91" t="s">
        <v>209</v>
      </c>
      <c r="K4" s="226" t="s">
        <v>210</v>
      </c>
      <c r="L4" s="91" t="s">
        <v>211</v>
      </c>
      <c r="M4" s="226" t="s">
        <v>212</v>
      </c>
      <c r="N4" s="91" t="s">
        <v>213</v>
      </c>
      <c r="O4" s="226" t="s">
        <v>214</v>
      </c>
      <c r="P4" s="91" t="s">
        <v>215</v>
      </c>
      <c r="Q4" s="226" t="s">
        <v>216</v>
      </c>
      <c r="R4" s="91" t="s">
        <v>217</v>
      </c>
      <c r="S4" s="226" t="s">
        <v>218</v>
      </c>
      <c r="T4" s="91" t="s">
        <v>219</v>
      </c>
      <c r="U4" s="226" t="s">
        <v>220</v>
      </c>
      <c r="V4" s="91" t="s">
        <v>221</v>
      </c>
      <c r="W4" s="226" t="s">
        <v>222</v>
      </c>
      <c r="X4" s="91" t="s">
        <v>223</v>
      </c>
      <c r="Y4" s="226" t="s">
        <v>224</v>
      </c>
      <c r="Z4" s="91" t="s">
        <v>225</v>
      </c>
      <c r="AA4" s="226" t="s">
        <v>226</v>
      </c>
      <c r="AB4" s="91" t="s">
        <v>227</v>
      </c>
      <c r="AC4" s="226" t="s">
        <v>228</v>
      </c>
      <c r="AD4" s="91" t="s">
        <v>229</v>
      </c>
      <c r="AE4" s="226" t="s">
        <v>230</v>
      </c>
      <c r="AF4" s="91" t="s">
        <v>231</v>
      </c>
      <c r="AG4" s="226" t="s">
        <v>232</v>
      </c>
      <c r="AH4" s="91" t="s">
        <v>233</v>
      </c>
      <c r="AI4" s="226" t="s">
        <v>234</v>
      </c>
      <c r="AJ4" s="91" t="s">
        <v>235</v>
      </c>
      <c r="AK4" s="226" t="s">
        <v>236</v>
      </c>
      <c r="AL4" s="91" t="s">
        <v>237</v>
      </c>
      <c r="AM4" s="226" t="s">
        <v>238</v>
      </c>
      <c r="AN4" s="227" t="s">
        <v>239</v>
      </c>
    </row>
    <row r="5" spans="1:40">
      <c r="A5" s="228" t="s">
        <v>240</v>
      </c>
      <c r="B5" s="228" t="s">
        <v>87</v>
      </c>
      <c r="C5" s="33" t="s">
        <v>241</v>
      </c>
      <c r="D5" s="33">
        <v>8</v>
      </c>
      <c r="E5" s="33"/>
      <c r="F5" s="33"/>
      <c r="G5" s="224"/>
      <c r="H5" s="33"/>
      <c r="I5" s="224"/>
      <c r="J5" s="33"/>
      <c r="K5" s="224"/>
      <c r="L5" s="33"/>
      <c r="M5" s="224"/>
      <c r="N5" s="33"/>
      <c r="O5" s="224"/>
      <c r="P5" s="33"/>
      <c r="Q5" s="224"/>
      <c r="R5" s="33"/>
      <c r="S5" s="224"/>
      <c r="T5" s="33"/>
      <c r="U5" s="224"/>
      <c r="V5" s="33"/>
      <c r="W5" s="224"/>
      <c r="X5" s="33"/>
      <c r="Y5" s="224"/>
      <c r="Z5" s="33"/>
      <c r="AA5" s="224"/>
      <c r="AB5" s="33"/>
      <c r="AC5" s="224"/>
      <c r="AD5" s="33"/>
      <c r="AE5" s="224"/>
      <c r="AF5" s="33"/>
      <c r="AG5" s="224"/>
      <c r="AH5" s="33"/>
      <c r="AI5" s="224"/>
      <c r="AJ5" s="33"/>
      <c r="AK5" s="224"/>
      <c r="AL5" s="33"/>
      <c r="AM5" s="224"/>
      <c r="AN5" s="164"/>
    </row>
    <row r="6" spans="1:40">
      <c r="A6" s="228" t="s">
        <v>242</v>
      </c>
      <c r="B6" s="228" t="s">
        <v>87</v>
      </c>
      <c r="C6" s="33" t="s">
        <v>243</v>
      </c>
      <c r="D6" s="33">
        <v>9</v>
      </c>
      <c r="E6" s="33"/>
      <c r="F6" s="33"/>
      <c r="G6" s="224"/>
      <c r="H6" s="33"/>
      <c r="I6" s="224"/>
      <c r="J6" s="33"/>
      <c r="K6" s="224"/>
      <c r="L6" s="33"/>
      <c r="M6" s="224"/>
      <c r="N6" s="33"/>
      <c r="O6" s="224"/>
      <c r="P6" s="33"/>
      <c r="Q6" s="224"/>
      <c r="R6" s="33"/>
      <c r="S6" s="224"/>
      <c r="T6" s="33"/>
      <c r="U6" s="224"/>
      <c r="V6" s="33"/>
      <c r="W6" s="224"/>
      <c r="X6" s="33"/>
      <c r="Y6" s="224"/>
      <c r="Z6" s="33"/>
      <c r="AA6" s="224"/>
      <c r="AB6" s="33"/>
      <c r="AC6" s="224"/>
      <c r="AD6" s="33"/>
      <c r="AE6" s="224"/>
      <c r="AF6" s="33"/>
      <c r="AG6" s="224"/>
      <c r="AH6" s="33"/>
      <c r="AI6" s="224"/>
      <c r="AJ6" s="33"/>
      <c r="AK6" s="224"/>
      <c r="AL6" s="33"/>
      <c r="AM6" s="224"/>
      <c r="AN6" s="164"/>
    </row>
    <row r="7" spans="1:40">
      <c r="A7" s="228" t="s">
        <v>244</v>
      </c>
      <c r="B7" s="228" t="s">
        <v>87</v>
      </c>
      <c r="C7" s="33" t="s">
        <v>245</v>
      </c>
      <c r="D7" s="33">
        <v>8</v>
      </c>
      <c r="E7" s="33"/>
      <c r="F7" s="33"/>
      <c r="G7" s="224"/>
      <c r="H7" s="33"/>
      <c r="I7" s="224"/>
      <c r="J7" s="33"/>
      <c r="K7" s="224"/>
      <c r="L7" s="33"/>
      <c r="M7" s="224"/>
      <c r="N7" s="33"/>
      <c r="O7" s="224"/>
      <c r="P7" s="33"/>
      <c r="Q7" s="224"/>
      <c r="R7" s="33"/>
      <c r="S7" s="224"/>
      <c r="T7" s="33"/>
      <c r="U7" s="224"/>
      <c r="V7" s="33"/>
      <c r="W7" s="224"/>
      <c r="X7" s="33"/>
      <c r="Y7" s="224"/>
      <c r="Z7" s="33"/>
      <c r="AA7" s="224"/>
      <c r="AB7" s="33"/>
      <c r="AC7" s="224"/>
      <c r="AD7" s="33"/>
      <c r="AE7" s="224"/>
      <c r="AF7" s="33"/>
      <c r="AG7" s="224"/>
      <c r="AH7" s="33"/>
      <c r="AI7" s="224"/>
      <c r="AJ7" s="33"/>
      <c r="AK7" s="224"/>
      <c r="AL7" s="33"/>
      <c r="AM7" s="224"/>
      <c r="AN7" s="164"/>
    </row>
    <row r="8" spans="1:40">
      <c r="A8" s="228" t="s">
        <v>246</v>
      </c>
      <c r="B8" s="228" t="s">
        <v>87</v>
      </c>
      <c r="C8" s="33" t="s">
        <v>93</v>
      </c>
      <c r="D8" s="33">
        <v>1.5</v>
      </c>
      <c r="E8" s="33"/>
      <c r="F8" s="33"/>
      <c r="G8" s="224"/>
      <c r="H8" s="33"/>
      <c r="I8" s="224"/>
      <c r="J8" s="33"/>
      <c r="K8" s="224"/>
      <c r="L8" s="33"/>
      <c r="M8" s="224"/>
      <c r="N8" s="33"/>
      <c r="O8" s="224"/>
      <c r="P8" s="33"/>
      <c r="Q8" s="224"/>
      <c r="R8" s="33"/>
      <c r="S8" s="224"/>
      <c r="T8" s="33"/>
      <c r="U8" s="224"/>
      <c r="V8" s="33"/>
      <c r="W8" s="224"/>
      <c r="X8" s="33"/>
      <c r="Y8" s="224"/>
      <c r="Z8" s="33"/>
      <c r="AA8" s="224"/>
      <c r="AB8" s="33"/>
      <c r="AC8" s="224"/>
      <c r="AD8" s="33"/>
      <c r="AE8" s="224"/>
      <c r="AF8" s="33"/>
      <c r="AG8" s="224"/>
      <c r="AH8" s="33"/>
      <c r="AI8" s="224"/>
      <c r="AJ8" s="33"/>
      <c r="AK8" s="224"/>
      <c r="AL8" s="33"/>
      <c r="AM8" s="224"/>
      <c r="AN8" s="164"/>
    </row>
    <row r="9" spans="1:40">
      <c r="A9" s="228" t="s">
        <v>247</v>
      </c>
      <c r="B9" s="228" t="s">
        <v>87</v>
      </c>
      <c r="C9" s="33" t="s">
        <v>93</v>
      </c>
      <c r="D9" s="33">
        <v>1.5</v>
      </c>
      <c r="E9" s="33"/>
      <c r="F9" s="33"/>
      <c r="G9" s="224"/>
      <c r="H9" s="33"/>
      <c r="I9" s="224"/>
      <c r="J9" s="33"/>
      <c r="K9" s="224"/>
      <c r="L9" s="33"/>
      <c r="M9" s="224"/>
      <c r="N9" s="33"/>
      <c r="O9" s="224"/>
      <c r="P9" s="33"/>
      <c r="Q9" s="224"/>
      <c r="R9" s="33"/>
      <c r="S9" s="224"/>
      <c r="T9" s="33"/>
      <c r="U9" s="224"/>
      <c r="V9" s="33"/>
      <c r="W9" s="224"/>
      <c r="X9" s="33"/>
      <c r="Y9" s="224"/>
      <c r="Z9" s="33"/>
      <c r="AA9" s="224"/>
      <c r="AB9" s="33"/>
      <c r="AC9" s="224"/>
      <c r="AD9" s="33"/>
      <c r="AE9" s="224"/>
      <c r="AF9" s="33"/>
      <c r="AG9" s="224"/>
      <c r="AH9" s="33"/>
      <c r="AI9" s="224"/>
      <c r="AJ9" s="33"/>
      <c r="AK9" s="224"/>
      <c r="AL9" s="33"/>
      <c r="AM9" s="224"/>
      <c r="AN9" s="164"/>
    </row>
    <row r="10" spans="1:40">
      <c r="A10" s="228" t="s">
        <v>248</v>
      </c>
      <c r="B10" s="228" t="s">
        <v>88</v>
      </c>
      <c r="C10" s="33" t="s">
        <v>93</v>
      </c>
      <c r="D10" s="33">
        <v>0</v>
      </c>
      <c r="E10" s="33"/>
      <c r="F10" s="33"/>
      <c r="G10" s="224"/>
      <c r="H10" s="33"/>
      <c r="I10" s="224"/>
      <c r="J10" s="33"/>
      <c r="K10" s="224"/>
      <c r="L10" s="33"/>
      <c r="M10" s="224"/>
      <c r="N10" s="33"/>
      <c r="O10" s="224"/>
      <c r="P10" s="33"/>
      <c r="Q10" s="224"/>
      <c r="R10" s="33"/>
      <c r="S10" s="224"/>
      <c r="T10" s="33"/>
      <c r="U10" s="224"/>
      <c r="V10" s="33"/>
      <c r="W10" s="224"/>
      <c r="X10" s="33"/>
      <c r="Y10" s="224"/>
      <c r="Z10" s="33"/>
      <c r="AA10" s="224"/>
      <c r="AB10" s="33"/>
      <c r="AC10" s="224"/>
      <c r="AD10" s="33"/>
      <c r="AE10" s="224"/>
      <c r="AF10" s="33"/>
      <c r="AG10" s="224"/>
      <c r="AH10" s="33"/>
      <c r="AI10" s="224"/>
      <c r="AJ10" s="33"/>
      <c r="AK10" s="224"/>
      <c r="AL10" s="33"/>
      <c r="AM10" s="224"/>
      <c r="AN10" s="164"/>
    </row>
    <row r="11" spans="1:40">
      <c r="A11" s="228" t="s">
        <v>249</v>
      </c>
      <c r="B11" s="228" t="s">
        <v>88</v>
      </c>
      <c r="C11" s="33" t="s">
        <v>93</v>
      </c>
      <c r="D11" s="33">
        <v>0</v>
      </c>
      <c r="E11" s="33"/>
      <c r="F11" s="33"/>
      <c r="G11" s="224"/>
      <c r="H11" s="33"/>
      <c r="I11" s="224"/>
      <c r="J11" s="33"/>
      <c r="K11" s="224"/>
      <c r="L11" s="33"/>
      <c r="M11" s="224"/>
      <c r="N11" s="33"/>
      <c r="O11" s="224"/>
      <c r="P11" s="33"/>
      <c r="Q11" s="224"/>
      <c r="R11" s="33"/>
      <c r="S11" s="224"/>
      <c r="T11" s="33"/>
      <c r="U11" s="224"/>
      <c r="V11" s="33"/>
      <c r="W11" s="224"/>
      <c r="X11" s="33"/>
      <c r="Y11" s="224"/>
      <c r="Z11" s="33"/>
      <c r="AA11" s="224"/>
      <c r="AB11" s="33"/>
      <c r="AC11" s="224"/>
      <c r="AD11" s="33"/>
      <c r="AE11" s="224"/>
      <c r="AF11" s="33"/>
      <c r="AG11" s="224"/>
      <c r="AH11" s="33"/>
      <c r="AI11" s="224"/>
      <c r="AJ11" s="33"/>
      <c r="AK11" s="224"/>
      <c r="AL11" s="33"/>
      <c r="AM11" s="224"/>
      <c r="AN11" s="164"/>
    </row>
    <row r="12" spans="1:40">
      <c r="A12" s="228" t="s">
        <v>250</v>
      </c>
      <c r="B12" s="228" t="s">
        <v>89</v>
      </c>
      <c r="C12" s="33" t="s">
        <v>251</v>
      </c>
      <c r="D12" s="33">
        <v>0</v>
      </c>
      <c r="E12" s="33"/>
      <c r="F12" s="33"/>
      <c r="G12" s="224"/>
      <c r="H12" s="33"/>
      <c r="I12" s="224"/>
      <c r="J12" s="33"/>
      <c r="K12" s="224"/>
      <c r="L12" s="33"/>
      <c r="M12" s="224"/>
      <c r="N12" s="33"/>
      <c r="O12" s="224"/>
      <c r="P12" s="33"/>
      <c r="Q12" s="224"/>
      <c r="R12" s="33"/>
      <c r="S12" s="224"/>
      <c r="T12" s="33"/>
      <c r="U12" s="224"/>
      <c r="V12" s="33"/>
      <c r="W12" s="224"/>
      <c r="X12" s="33"/>
      <c r="Y12" s="224"/>
      <c r="Z12" s="33"/>
      <c r="AA12" s="224"/>
      <c r="AB12" s="33"/>
      <c r="AC12" s="224"/>
      <c r="AD12" s="33"/>
      <c r="AE12" s="224"/>
      <c r="AF12" s="33"/>
      <c r="AG12" s="224"/>
      <c r="AH12" s="33"/>
      <c r="AI12" s="224"/>
      <c r="AJ12" s="33"/>
      <c r="AK12" s="224"/>
      <c r="AL12" s="33"/>
      <c r="AM12" s="224"/>
      <c r="AN12" s="164"/>
    </row>
    <row r="13" spans="1:40">
      <c r="A13" s="228"/>
      <c r="B13" s="228"/>
      <c r="C13" s="33"/>
      <c r="D13" s="33"/>
      <c r="E13" s="33"/>
      <c r="F13" s="33"/>
      <c r="G13" s="224"/>
      <c r="H13" s="33"/>
      <c r="I13" s="224"/>
      <c r="J13" s="33"/>
      <c r="K13" s="224"/>
      <c r="L13" s="33"/>
      <c r="M13" s="224"/>
      <c r="N13" s="33"/>
      <c r="O13" s="224"/>
      <c r="P13" s="33"/>
      <c r="Q13" s="224"/>
      <c r="R13" s="33"/>
      <c r="S13" s="224"/>
      <c r="T13" s="33"/>
      <c r="U13" s="224"/>
      <c r="V13" s="33"/>
      <c r="W13" s="224"/>
      <c r="X13" s="33"/>
      <c r="Y13" s="224"/>
      <c r="Z13" s="33"/>
      <c r="AA13" s="224"/>
      <c r="AB13" s="33"/>
      <c r="AC13" s="224"/>
      <c r="AD13" s="33"/>
      <c r="AE13" s="224"/>
      <c r="AF13" s="33"/>
      <c r="AG13" s="224"/>
      <c r="AH13" s="33"/>
      <c r="AI13" s="224"/>
      <c r="AJ13" s="33"/>
      <c r="AK13" s="224"/>
      <c r="AL13" s="33"/>
      <c r="AM13" s="224"/>
      <c r="AN13" s="164"/>
    </row>
    <row r="14" spans="1:40">
      <c r="A14" s="228"/>
      <c r="B14" s="228"/>
      <c r="C14" s="33"/>
      <c r="D14" s="33"/>
      <c r="E14" s="33"/>
      <c r="F14" s="33"/>
      <c r="G14" s="224"/>
      <c r="H14" s="33"/>
      <c r="I14" s="224"/>
      <c r="J14" s="33"/>
      <c r="K14" s="224"/>
      <c r="L14" s="33"/>
      <c r="M14" s="224"/>
      <c r="N14" s="33"/>
      <c r="O14" s="224"/>
      <c r="P14" s="33"/>
      <c r="Q14" s="224"/>
      <c r="R14" s="33"/>
      <c r="S14" s="224"/>
      <c r="T14" s="33"/>
      <c r="U14" s="224"/>
      <c r="V14" s="33"/>
      <c r="W14" s="224"/>
      <c r="X14" s="33"/>
      <c r="Y14" s="224"/>
      <c r="Z14" s="33"/>
      <c r="AA14" s="224"/>
      <c r="AB14" s="33"/>
      <c r="AC14" s="224"/>
      <c r="AD14" s="33"/>
      <c r="AE14" s="224"/>
      <c r="AF14" s="33"/>
      <c r="AG14" s="224"/>
      <c r="AH14" s="33"/>
      <c r="AI14" s="224"/>
      <c r="AJ14" s="33"/>
      <c r="AK14" s="224"/>
      <c r="AL14" s="33"/>
      <c r="AM14" s="224"/>
      <c r="AN14" s="164"/>
    </row>
    <row r="15" spans="1:40">
      <c r="A15" s="228"/>
      <c r="B15" s="228"/>
      <c r="C15" s="33"/>
      <c r="D15" s="33"/>
      <c r="E15" s="33"/>
      <c r="F15" s="33"/>
      <c r="G15" s="224"/>
      <c r="H15" s="33"/>
      <c r="I15" s="224"/>
      <c r="J15" s="33"/>
      <c r="K15" s="224"/>
      <c r="L15" s="33"/>
      <c r="M15" s="224"/>
      <c r="N15" s="33"/>
      <c r="O15" s="224"/>
      <c r="P15" s="33"/>
      <c r="Q15" s="224"/>
      <c r="R15" s="33"/>
      <c r="S15" s="224"/>
      <c r="T15" s="33"/>
      <c r="U15" s="224"/>
      <c r="V15" s="33"/>
      <c r="W15" s="224"/>
      <c r="X15" s="33"/>
      <c r="Y15" s="224"/>
      <c r="Z15" s="33"/>
      <c r="AA15" s="224"/>
      <c r="AB15" s="33"/>
      <c r="AC15" s="224"/>
      <c r="AD15" s="33"/>
      <c r="AE15" s="224"/>
      <c r="AF15" s="33"/>
      <c r="AG15" s="224"/>
      <c r="AH15" s="33"/>
      <c r="AI15" s="224"/>
      <c r="AJ15" s="33"/>
      <c r="AK15" s="224"/>
      <c r="AL15" s="33"/>
      <c r="AM15" s="224"/>
      <c r="AN15" s="164"/>
    </row>
    <row r="16" spans="1:40">
      <c r="A16" s="228"/>
      <c r="B16" s="228"/>
      <c r="C16" s="33"/>
      <c r="D16" s="33"/>
      <c r="E16" s="33"/>
      <c r="F16" s="33"/>
      <c r="G16" s="224"/>
      <c r="H16" s="33"/>
      <c r="I16" s="224"/>
      <c r="J16" s="33"/>
      <c r="K16" s="224"/>
      <c r="L16" s="33"/>
      <c r="M16" s="224"/>
      <c r="N16" s="33"/>
      <c r="O16" s="224"/>
      <c r="P16" s="33"/>
      <c r="Q16" s="224"/>
      <c r="R16" s="33"/>
      <c r="S16" s="224"/>
      <c r="T16" s="33"/>
      <c r="U16" s="224"/>
      <c r="V16" s="33"/>
      <c r="W16" s="224"/>
      <c r="X16" s="33"/>
      <c r="Y16" s="224"/>
      <c r="Z16" s="33"/>
      <c r="AA16" s="224"/>
      <c r="AB16" s="33"/>
      <c r="AC16" s="224"/>
      <c r="AD16" s="33"/>
      <c r="AE16" s="224"/>
      <c r="AF16" s="33"/>
      <c r="AG16" s="224"/>
      <c r="AH16" s="33"/>
      <c r="AI16" s="224"/>
      <c r="AJ16" s="33"/>
      <c r="AK16" s="224"/>
      <c r="AL16" s="33"/>
      <c r="AM16" s="224"/>
      <c r="AN16" s="164"/>
    </row>
    <row r="17" spans="1:42">
      <c r="A17" s="228"/>
      <c r="B17" s="228"/>
      <c r="C17" s="33"/>
      <c r="D17" s="33"/>
      <c r="E17" s="33"/>
      <c r="F17" s="33"/>
      <c r="G17" s="224"/>
      <c r="H17" s="33"/>
      <c r="I17" s="224"/>
      <c r="J17" s="33"/>
      <c r="K17" s="224"/>
      <c r="L17" s="33"/>
      <c r="M17" s="224"/>
      <c r="N17" s="33"/>
      <c r="O17" s="224"/>
      <c r="P17" s="33"/>
      <c r="Q17" s="224"/>
      <c r="R17" s="33"/>
      <c r="S17" s="224"/>
      <c r="T17" s="33"/>
      <c r="U17" s="224"/>
      <c r="V17" s="33"/>
      <c r="W17" s="224"/>
      <c r="X17" s="33"/>
      <c r="Y17" s="224"/>
      <c r="Z17" s="33"/>
      <c r="AA17" s="224"/>
      <c r="AB17" s="33"/>
      <c r="AC17" s="224"/>
      <c r="AD17" s="33"/>
      <c r="AE17" s="224"/>
      <c r="AF17" s="33"/>
      <c r="AG17" s="224"/>
      <c r="AH17" s="33"/>
      <c r="AI17" s="224"/>
      <c r="AJ17" s="33"/>
      <c r="AK17" s="224"/>
      <c r="AL17" s="33"/>
      <c r="AM17" s="224"/>
      <c r="AN17" s="164"/>
    </row>
    <row r="18" spans="1:42">
      <c r="A18" s="228"/>
      <c r="B18" s="228"/>
      <c r="C18" s="33"/>
      <c r="D18" s="33"/>
      <c r="E18" s="33"/>
      <c r="F18" s="33"/>
      <c r="G18" s="224"/>
      <c r="H18" s="33"/>
      <c r="I18" s="224"/>
      <c r="J18" s="33"/>
      <c r="K18" s="224"/>
      <c r="L18" s="33"/>
      <c r="M18" s="224"/>
      <c r="N18" s="33"/>
      <c r="O18" s="224"/>
      <c r="P18" s="33"/>
      <c r="Q18" s="224"/>
      <c r="R18" s="33"/>
      <c r="S18" s="224"/>
      <c r="T18" s="33"/>
      <c r="U18" s="224"/>
      <c r="V18" s="33"/>
      <c r="W18" s="224"/>
      <c r="X18" s="33"/>
      <c r="Y18" s="224"/>
      <c r="Z18" s="33"/>
      <c r="AA18" s="224"/>
      <c r="AB18" s="33"/>
      <c r="AC18" s="224"/>
      <c r="AD18" s="33"/>
      <c r="AE18" s="224"/>
      <c r="AF18" s="33"/>
      <c r="AG18" s="224"/>
      <c r="AH18" s="33"/>
      <c r="AI18" s="224"/>
      <c r="AJ18" s="33"/>
      <c r="AK18" s="224"/>
      <c r="AL18" s="33"/>
      <c r="AM18" s="224"/>
      <c r="AN18" s="164"/>
    </row>
    <row r="19" spans="1:42">
      <c r="A19" s="228"/>
      <c r="B19" s="228"/>
      <c r="C19" s="33"/>
      <c r="D19" s="33"/>
      <c r="E19" s="33"/>
      <c r="F19" s="33"/>
      <c r="G19" s="224"/>
      <c r="H19" s="33"/>
      <c r="I19" s="224"/>
      <c r="J19" s="33"/>
      <c r="K19" s="224"/>
      <c r="L19" s="33"/>
      <c r="M19" s="224"/>
      <c r="N19" s="33"/>
      <c r="O19" s="224"/>
      <c r="P19" s="33"/>
      <c r="Q19" s="224"/>
      <c r="R19" s="33"/>
      <c r="S19" s="224"/>
      <c r="T19" s="33"/>
      <c r="U19" s="224"/>
      <c r="V19" s="33"/>
      <c r="W19" s="224"/>
      <c r="X19" s="33"/>
      <c r="Y19" s="224"/>
      <c r="Z19" s="33"/>
      <c r="AA19" s="224"/>
      <c r="AB19" s="33"/>
      <c r="AC19" s="224"/>
      <c r="AD19" s="33"/>
      <c r="AE19" s="224"/>
      <c r="AF19" s="33"/>
      <c r="AG19" s="224"/>
      <c r="AH19" s="33"/>
      <c r="AI19" s="224"/>
      <c r="AJ19" s="33"/>
      <c r="AK19" s="224"/>
      <c r="AL19" s="33"/>
      <c r="AM19" s="224"/>
      <c r="AN19" s="164"/>
    </row>
    <row r="20" spans="1:42">
      <c r="A20" s="228"/>
      <c r="B20" s="228"/>
      <c r="C20" s="33"/>
      <c r="D20" s="33"/>
      <c r="E20" s="33"/>
      <c r="F20" s="33"/>
      <c r="G20" s="224"/>
      <c r="H20" s="33"/>
      <c r="I20" s="224"/>
      <c r="J20" s="33"/>
      <c r="K20" s="224"/>
      <c r="L20" s="33"/>
      <c r="M20" s="224"/>
      <c r="N20" s="33"/>
      <c r="O20" s="224"/>
      <c r="P20" s="33"/>
      <c r="Q20" s="224"/>
      <c r="R20" s="33"/>
      <c r="S20" s="224"/>
      <c r="T20" s="33"/>
      <c r="U20" s="224"/>
      <c r="V20" s="33"/>
      <c r="W20" s="224"/>
      <c r="X20" s="33"/>
      <c r="Y20" s="224"/>
      <c r="Z20" s="33"/>
      <c r="AA20" s="224"/>
      <c r="AB20" s="33"/>
      <c r="AC20" s="224"/>
      <c r="AD20" s="33"/>
      <c r="AE20" s="224"/>
      <c r="AF20" s="33"/>
      <c r="AG20" s="224"/>
      <c r="AH20" s="33"/>
      <c r="AI20" s="224"/>
      <c r="AJ20" s="33"/>
      <c r="AK20" s="224"/>
      <c r="AL20" s="33"/>
      <c r="AM20" s="224"/>
      <c r="AN20" s="164"/>
    </row>
    <row r="21" spans="1:42" ht="15.75" customHeight="1">
      <c r="A21" s="228"/>
      <c r="B21" s="228"/>
      <c r="C21" s="33"/>
      <c r="D21" s="33"/>
      <c r="E21" s="33"/>
      <c r="F21" s="33"/>
      <c r="G21" s="224"/>
      <c r="H21" s="33"/>
      <c r="I21" s="224"/>
      <c r="J21" s="33"/>
      <c r="K21" s="224"/>
      <c r="L21" s="33"/>
      <c r="M21" s="224"/>
      <c r="N21" s="33"/>
      <c r="O21" s="224"/>
      <c r="P21" s="33"/>
      <c r="Q21" s="224"/>
      <c r="R21" s="33"/>
      <c r="S21" s="224"/>
      <c r="T21" s="33"/>
      <c r="U21" s="224"/>
      <c r="V21" s="33"/>
      <c r="W21" s="224"/>
      <c r="X21" s="33"/>
      <c r="Y21" s="224"/>
      <c r="Z21" s="33"/>
      <c r="AA21" s="224"/>
      <c r="AB21" s="33"/>
      <c r="AC21" s="224"/>
      <c r="AD21" s="33"/>
      <c r="AE21" s="224"/>
      <c r="AF21" s="33"/>
      <c r="AG21" s="224"/>
      <c r="AH21" s="33"/>
      <c r="AI21" s="224"/>
      <c r="AJ21" s="33"/>
      <c r="AK21" s="224"/>
      <c r="AL21" s="33"/>
      <c r="AM21" s="224"/>
      <c r="AN21" s="164"/>
    </row>
    <row r="22" spans="1:42" ht="15.75" customHeight="1">
      <c r="A22" s="228"/>
      <c r="B22" s="228"/>
      <c r="C22" s="33"/>
      <c r="D22" s="33"/>
      <c r="E22" s="33"/>
      <c r="F22" s="33"/>
      <c r="G22" s="224"/>
      <c r="H22" s="33"/>
      <c r="I22" s="224"/>
      <c r="J22" s="33"/>
      <c r="K22" s="224"/>
      <c r="L22" s="33"/>
      <c r="M22" s="224"/>
      <c r="N22" s="33"/>
      <c r="O22" s="224"/>
      <c r="P22" s="33"/>
      <c r="Q22" s="224"/>
      <c r="R22" s="33"/>
      <c r="S22" s="224"/>
      <c r="T22" s="33"/>
      <c r="U22" s="224"/>
      <c r="V22" s="33"/>
      <c r="W22" s="224"/>
      <c r="X22" s="33"/>
      <c r="Y22" s="224"/>
      <c r="Z22" s="33"/>
      <c r="AA22" s="224"/>
      <c r="AB22" s="33"/>
      <c r="AC22" s="224"/>
      <c r="AD22" s="33"/>
      <c r="AE22" s="224"/>
      <c r="AF22" s="33"/>
      <c r="AG22" s="224"/>
      <c r="AH22" s="33"/>
      <c r="AI22" s="224"/>
      <c r="AJ22" s="33"/>
      <c r="AK22" s="224"/>
      <c r="AL22" s="33"/>
      <c r="AM22" s="224"/>
      <c r="AN22" s="164"/>
    </row>
    <row r="23" spans="1:42" ht="15.75" customHeight="1">
      <c r="A23" s="229"/>
      <c r="B23" s="228"/>
      <c r="C23" s="230"/>
      <c r="D23" s="230"/>
      <c r="E23" s="230"/>
      <c r="F23" s="230"/>
      <c r="G23" s="231"/>
      <c r="H23" s="230"/>
      <c r="I23" s="231"/>
      <c r="J23" s="230"/>
      <c r="K23" s="231"/>
      <c r="L23" s="230"/>
      <c r="M23" s="231"/>
      <c r="N23" s="230"/>
      <c r="O23" s="231"/>
      <c r="P23" s="230"/>
      <c r="Q23" s="231"/>
      <c r="R23" s="230"/>
      <c r="S23" s="231"/>
      <c r="T23" s="230"/>
      <c r="U23" s="231"/>
      <c r="V23" s="230"/>
      <c r="W23" s="231"/>
      <c r="X23" s="230"/>
      <c r="Y23" s="231"/>
      <c r="Z23" s="230"/>
      <c r="AA23" s="231"/>
      <c r="AB23" s="230"/>
      <c r="AC23" s="231"/>
      <c r="AD23" s="230"/>
      <c r="AE23" s="231"/>
      <c r="AF23" s="230"/>
      <c r="AG23" s="231"/>
      <c r="AH23" s="230"/>
      <c r="AI23" s="231"/>
      <c r="AJ23" s="230"/>
      <c r="AK23" s="231"/>
      <c r="AL23" s="230"/>
      <c r="AM23" s="231"/>
      <c r="AN23" s="232"/>
    </row>
    <row r="24" spans="1:42" ht="15.75" customHeight="1">
      <c r="A24" s="33" t="s">
        <v>1</v>
      </c>
      <c r="B24" s="33"/>
      <c r="C24" s="33"/>
      <c r="D24" s="33">
        <f>SUM(D5:D23)</f>
        <v>28</v>
      </c>
      <c r="E24" s="33">
        <f>SUM(E5:E23)</f>
        <v>0</v>
      </c>
      <c r="F24" s="33"/>
      <c r="G24" s="33">
        <f>SUM(G5:G23)</f>
        <v>0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2" ht="15.75" customHeight="1">
      <c r="A25" s="153" t="s">
        <v>252</v>
      </c>
      <c r="B25" s="153"/>
      <c r="C25" s="33"/>
      <c r="D25" s="233">
        <f>AVERAGE(D5:D23)</f>
        <v>3.5</v>
      </c>
      <c r="E25" s="233" t="e">
        <f>AVERAGE(E5:E23)</f>
        <v>#DIV/0!</v>
      </c>
      <c r="F25" s="233"/>
      <c r="G25" s="233">
        <f>SUM(G5:G23)/20</f>
        <v>0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2" ht="15.75" customHeight="1"/>
    <row r="27" spans="1:42" ht="15.75" customHeight="1">
      <c r="AP27" s="234" t="s">
        <v>253</v>
      </c>
    </row>
    <row r="28" spans="1:42" ht="15.75" customHeight="1"/>
    <row r="29" spans="1:42" ht="15.75" customHeight="1">
      <c r="A29" s="220" t="s">
        <v>254</v>
      </c>
      <c r="B29" s="33"/>
      <c r="C29" s="33"/>
      <c r="D29" s="33"/>
      <c r="E29" s="33"/>
      <c r="F29" s="33"/>
      <c r="G29" s="33" t="s">
        <v>177</v>
      </c>
      <c r="H29" s="33" t="s">
        <v>178</v>
      </c>
      <c r="I29" s="221" t="s">
        <v>179</v>
      </c>
      <c r="J29" s="221" t="s">
        <v>179</v>
      </c>
      <c r="K29" s="221" t="s">
        <v>180</v>
      </c>
      <c r="L29" s="221" t="s">
        <v>180</v>
      </c>
      <c r="M29" s="221" t="s">
        <v>181</v>
      </c>
      <c r="N29" s="221" t="s">
        <v>181</v>
      </c>
      <c r="O29" s="221" t="s">
        <v>182</v>
      </c>
      <c r="P29" s="221" t="s">
        <v>182</v>
      </c>
      <c r="Q29" s="221" t="s">
        <v>183</v>
      </c>
      <c r="R29" s="221" t="s">
        <v>183</v>
      </c>
      <c r="S29" s="221" t="s">
        <v>184</v>
      </c>
      <c r="T29" s="221" t="s">
        <v>184</v>
      </c>
      <c r="U29" s="221" t="s">
        <v>185</v>
      </c>
      <c r="V29" s="221" t="s">
        <v>185</v>
      </c>
      <c r="W29" s="221" t="s">
        <v>186</v>
      </c>
      <c r="X29" s="221" t="s">
        <v>186</v>
      </c>
      <c r="Y29" s="221" t="s">
        <v>187</v>
      </c>
      <c r="Z29" s="221" t="s">
        <v>187</v>
      </c>
      <c r="AA29" s="221" t="s">
        <v>188</v>
      </c>
      <c r="AB29" s="221" t="s">
        <v>188</v>
      </c>
      <c r="AC29" s="221" t="s">
        <v>189</v>
      </c>
      <c r="AD29" s="221" t="s">
        <v>189</v>
      </c>
      <c r="AE29" s="221" t="s">
        <v>190</v>
      </c>
      <c r="AF29" s="221" t="s">
        <v>190</v>
      </c>
      <c r="AG29" s="221" t="s">
        <v>191</v>
      </c>
      <c r="AH29" s="221" t="s">
        <v>191</v>
      </c>
      <c r="AI29" s="221" t="s">
        <v>192</v>
      </c>
      <c r="AJ29" s="221" t="s">
        <v>192</v>
      </c>
      <c r="AK29" s="221" t="s">
        <v>193</v>
      </c>
      <c r="AL29" s="221" t="s">
        <v>193</v>
      </c>
      <c r="AM29" s="221" t="s">
        <v>194</v>
      </c>
      <c r="AN29" s="221" t="s">
        <v>194</v>
      </c>
    </row>
    <row r="30" spans="1:42" ht="15.75" customHeight="1">
      <c r="A30" s="153" t="s">
        <v>195</v>
      </c>
      <c r="B30" s="153"/>
      <c r="C30" s="33"/>
      <c r="D30" s="33" t="s">
        <v>196</v>
      </c>
      <c r="E30" s="222" t="s">
        <v>197</v>
      </c>
      <c r="F30" s="33"/>
      <c r="G30" s="223" t="s">
        <v>198</v>
      </c>
      <c r="H30" s="32">
        <v>1</v>
      </c>
      <c r="I30" s="223" t="s">
        <v>199</v>
      </c>
      <c r="J30" s="32">
        <v>0.8</v>
      </c>
      <c r="K30" s="223" t="s">
        <v>199</v>
      </c>
      <c r="L30" s="32">
        <v>0.7</v>
      </c>
      <c r="M30" s="223" t="s">
        <v>199</v>
      </c>
      <c r="N30" s="32">
        <v>0.8</v>
      </c>
      <c r="O30" s="223" t="s">
        <v>199</v>
      </c>
      <c r="P30" s="32">
        <v>0.8</v>
      </c>
      <c r="Q30" s="223" t="s">
        <v>199</v>
      </c>
      <c r="R30" s="32">
        <v>0.7</v>
      </c>
      <c r="S30" s="223" t="s">
        <v>199</v>
      </c>
      <c r="T30" s="32">
        <v>0.6</v>
      </c>
      <c r="U30" s="223" t="s">
        <v>199</v>
      </c>
      <c r="V30" s="32">
        <v>0.7</v>
      </c>
      <c r="W30" s="223" t="s">
        <v>199</v>
      </c>
      <c r="X30" s="32">
        <v>0.8</v>
      </c>
      <c r="Y30" s="223" t="s">
        <v>199</v>
      </c>
      <c r="Z30" s="32">
        <v>0.6</v>
      </c>
      <c r="AA30" s="223" t="s">
        <v>199</v>
      </c>
      <c r="AB30" s="32">
        <v>0.5</v>
      </c>
      <c r="AC30" s="223" t="s">
        <v>199</v>
      </c>
      <c r="AD30" s="32">
        <v>0.5</v>
      </c>
      <c r="AE30" s="223" t="s">
        <v>199</v>
      </c>
      <c r="AF30" s="32">
        <v>0.5</v>
      </c>
      <c r="AG30" s="223" t="s">
        <v>199</v>
      </c>
      <c r="AH30" s="32">
        <v>0.3</v>
      </c>
      <c r="AI30" s="223" t="s">
        <v>199</v>
      </c>
      <c r="AJ30" s="32">
        <v>0.4</v>
      </c>
      <c r="AK30" s="223" t="s">
        <v>199</v>
      </c>
      <c r="AL30" s="32">
        <v>0.5</v>
      </c>
      <c r="AM30" s="223" t="s">
        <v>199</v>
      </c>
      <c r="AN30" s="32">
        <v>0.7</v>
      </c>
    </row>
    <row r="31" spans="1:42" ht="15.75" customHeight="1">
      <c r="C31" s="33"/>
      <c r="D31" s="33"/>
      <c r="E31" s="33"/>
      <c r="F31" s="33"/>
      <c r="G31" s="224"/>
      <c r="H31" s="221"/>
      <c r="I31" s="224"/>
      <c r="J31" s="33"/>
      <c r="K31" s="224"/>
      <c r="L31" s="33"/>
      <c r="M31" s="224"/>
      <c r="N31" s="33"/>
      <c r="O31" s="224"/>
      <c r="P31" s="33"/>
      <c r="Q31" s="224"/>
      <c r="R31" s="33"/>
      <c r="S31" s="224"/>
      <c r="T31" s="33"/>
      <c r="U31" s="224"/>
      <c r="V31" s="33"/>
      <c r="W31" s="224"/>
      <c r="X31" s="33"/>
      <c r="Y31" s="224"/>
      <c r="Z31" s="33"/>
      <c r="AA31" s="224"/>
      <c r="AB31" s="33"/>
      <c r="AC31" s="224"/>
      <c r="AD31" s="33"/>
      <c r="AE31" s="224"/>
      <c r="AF31" s="33"/>
      <c r="AG31" s="224"/>
      <c r="AH31" s="33"/>
      <c r="AI31" s="224"/>
      <c r="AJ31" s="33"/>
      <c r="AK31" s="224"/>
      <c r="AL31" s="33"/>
      <c r="AM31" s="224"/>
      <c r="AN31" s="33"/>
    </row>
    <row r="32" spans="1:42" ht="15.75" customHeight="1">
      <c r="A32" s="225" t="s">
        <v>255</v>
      </c>
      <c r="B32" s="225" t="s">
        <v>201</v>
      </c>
      <c r="C32" s="91" t="s">
        <v>202</v>
      </c>
      <c r="D32" s="91" t="s">
        <v>203</v>
      </c>
      <c r="E32" s="91" t="s">
        <v>204</v>
      </c>
      <c r="F32" s="91" t="s">
        <v>205</v>
      </c>
      <c r="G32" s="226" t="s">
        <v>206</v>
      </c>
      <c r="H32" s="91" t="s">
        <v>207</v>
      </c>
      <c r="I32" s="226" t="s">
        <v>208</v>
      </c>
      <c r="J32" s="91" t="s">
        <v>209</v>
      </c>
      <c r="K32" s="226" t="s">
        <v>210</v>
      </c>
      <c r="L32" s="91" t="s">
        <v>211</v>
      </c>
      <c r="M32" s="226" t="s">
        <v>212</v>
      </c>
      <c r="N32" s="91" t="s">
        <v>213</v>
      </c>
      <c r="O32" s="226" t="s">
        <v>214</v>
      </c>
      <c r="P32" s="91" t="s">
        <v>215</v>
      </c>
      <c r="Q32" s="226" t="s">
        <v>216</v>
      </c>
      <c r="R32" s="91" t="s">
        <v>217</v>
      </c>
      <c r="S32" s="226" t="s">
        <v>218</v>
      </c>
      <c r="T32" s="91" t="s">
        <v>219</v>
      </c>
      <c r="U32" s="226" t="s">
        <v>220</v>
      </c>
      <c r="V32" s="91" t="s">
        <v>221</v>
      </c>
      <c r="W32" s="226" t="s">
        <v>222</v>
      </c>
      <c r="X32" s="91" t="s">
        <v>223</v>
      </c>
      <c r="Y32" s="226" t="s">
        <v>224</v>
      </c>
      <c r="Z32" s="91" t="s">
        <v>225</v>
      </c>
      <c r="AA32" s="226" t="s">
        <v>226</v>
      </c>
      <c r="AB32" s="91" t="s">
        <v>227</v>
      </c>
      <c r="AC32" s="226" t="s">
        <v>228</v>
      </c>
      <c r="AD32" s="91" t="s">
        <v>229</v>
      </c>
      <c r="AE32" s="226" t="s">
        <v>230</v>
      </c>
      <c r="AF32" s="91" t="s">
        <v>231</v>
      </c>
      <c r="AG32" s="226" t="s">
        <v>232</v>
      </c>
      <c r="AH32" s="91" t="s">
        <v>233</v>
      </c>
      <c r="AI32" s="226" t="s">
        <v>234</v>
      </c>
      <c r="AJ32" s="91" t="s">
        <v>235</v>
      </c>
      <c r="AK32" s="226" t="s">
        <v>236</v>
      </c>
      <c r="AL32" s="91" t="s">
        <v>237</v>
      </c>
      <c r="AM32" s="226" t="s">
        <v>238</v>
      </c>
      <c r="AN32" s="227" t="s">
        <v>239</v>
      </c>
    </row>
    <row r="33" spans="1:40" ht="15.75" customHeight="1">
      <c r="A33" s="235"/>
      <c r="B33" s="228"/>
      <c r="C33" s="33"/>
      <c r="D33" s="33"/>
      <c r="E33" s="33"/>
      <c r="F33" s="33"/>
      <c r="G33" s="224"/>
      <c r="H33" s="33"/>
      <c r="I33" s="224"/>
      <c r="J33" s="33"/>
      <c r="K33" s="224"/>
      <c r="L33" s="33">
        <f t="shared" ref="L33:L50" si="0">K33*L$2</f>
        <v>0</v>
      </c>
      <c r="M33" s="224"/>
      <c r="N33" s="33">
        <f t="shared" ref="N33:N50" si="1">M33*N$2</f>
        <v>0</v>
      </c>
      <c r="O33" s="224"/>
      <c r="P33" s="33">
        <f t="shared" ref="P33:P50" si="2">O33*P$2</f>
        <v>0</v>
      </c>
      <c r="Q33" s="224"/>
      <c r="R33" s="33">
        <f t="shared" ref="R33:R50" si="3">Q33*R$2</f>
        <v>0</v>
      </c>
      <c r="S33" s="224"/>
      <c r="T33" s="33">
        <f t="shared" ref="T33:T50" si="4">S33*T$2</f>
        <v>0</v>
      </c>
      <c r="U33" s="224"/>
      <c r="V33" s="33">
        <f t="shared" ref="V33:V50" si="5">U33*V$2</f>
        <v>0</v>
      </c>
      <c r="W33" s="224"/>
      <c r="X33" s="33">
        <f t="shared" ref="X33:X50" si="6">W33*X$2</f>
        <v>0</v>
      </c>
      <c r="Y33" s="224"/>
      <c r="Z33" s="33">
        <f t="shared" ref="Z33:Z50" si="7">Y33*Z$2</f>
        <v>0</v>
      </c>
      <c r="AA33" s="224"/>
      <c r="AB33" s="33">
        <f t="shared" ref="AB33:AB50" si="8">AA33*AB$2</f>
        <v>0</v>
      </c>
      <c r="AC33" s="224"/>
      <c r="AD33" s="33">
        <f t="shared" ref="AD33:AD50" si="9">AC33*AD$2</f>
        <v>0</v>
      </c>
      <c r="AE33" s="224"/>
      <c r="AF33" s="33">
        <f t="shared" ref="AF33:AF50" si="10">AE33*AF$2</f>
        <v>0</v>
      </c>
      <c r="AG33" s="224"/>
      <c r="AH33" s="33">
        <f t="shared" ref="AH33:AH50" si="11">AG33*AH$2</f>
        <v>0</v>
      </c>
      <c r="AI33" s="224"/>
      <c r="AJ33" s="33">
        <f t="shared" ref="AJ33:AJ41" si="12">AI33*AJ$2</f>
        <v>0</v>
      </c>
      <c r="AK33" s="224"/>
      <c r="AL33" s="33">
        <f t="shared" ref="AL33:AL50" si="13">AK33*AL$2</f>
        <v>0</v>
      </c>
      <c r="AM33" s="224"/>
      <c r="AN33" s="164">
        <f t="shared" ref="AN33:AN50" si="14">AM33*AN$2</f>
        <v>0</v>
      </c>
    </row>
    <row r="34" spans="1:40" ht="15.75" customHeight="1">
      <c r="A34" s="235"/>
      <c r="B34" s="228"/>
      <c r="C34" s="33"/>
      <c r="D34" s="33"/>
      <c r="E34" s="33"/>
      <c r="F34" s="33"/>
      <c r="G34" s="224"/>
      <c r="H34" s="33"/>
      <c r="I34" s="224"/>
      <c r="J34" s="33"/>
      <c r="K34" s="224"/>
      <c r="L34" s="33">
        <f t="shared" si="0"/>
        <v>0</v>
      </c>
      <c r="M34" s="224"/>
      <c r="N34" s="33">
        <f t="shared" si="1"/>
        <v>0</v>
      </c>
      <c r="O34" s="224"/>
      <c r="P34" s="33">
        <f t="shared" si="2"/>
        <v>0</v>
      </c>
      <c r="Q34" s="224"/>
      <c r="R34" s="33">
        <f t="shared" si="3"/>
        <v>0</v>
      </c>
      <c r="S34" s="224"/>
      <c r="T34" s="33">
        <f t="shared" si="4"/>
        <v>0</v>
      </c>
      <c r="U34" s="224"/>
      <c r="V34" s="33">
        <f t="shared" si="5"/>
        <v>0</v>
      </c>
      <c r="W34" s="224"/>
      <c r="X34" s="33">
        <f t="shared" si="6"/>
        <v>0</v>
      </c>
      <c r="Y34" s="224"/>
      <c r="Z34" s="33">
        <f t="shared" si="7"/>
        <v>0</v>
      </c>
      <c r="AA34" s="224"/>
      <c r="AB34" s="33">
        <f t="shared" si="8"/>
        <v>0</v>
      </c>
      <c r="AC34" s="224"/>
      <c r="AD34" s="33">
        <f t="shared" si="9"/>
        <v>0</v>
      </c>
      <c r="AE34" s="224"/>
      <c r="AF34" s="33">
        <f t="shared" si="10"/>
        <v>0</v>
      </c>
      <c r="AG34" s="224"/>
      <c r="AH34" s="33">
        <f t="shared" si="11"/>
        <v>0</v>
      </c>
      <c r="AI34" s="224"/>
      <c r="AJ34" s="33">
        <f t="shared" si="12"/>
        <v>0</v>
      </c>
      <c r="AK34" s="224"/>
      <c r="AL34" s="33">
        <f t="shared" si="13"/>
        <v>0</v>
      </c>
      <c r="AM34" s="224"/>
      <c r="AN34" s="164">
        <f t="shared" si="14"/>
        <v>0</v>
      </c>
    </row>
    <row r="35" spans="1:40" ht="15.75" customHeight="1">
      <c r="A35" s="235"/>
      <c r="B35" s="228"/>
      <c r="C35" s="33"/>
      <c r="D35" s="33"/>
      <c r="E35" s="33"/>
      <c r="F35" s="33"/>
      <c r="G35" s="224"/>
      <c r="H35" s="33"/>
      <c r="I35" s="224"/>
      <c r="J35" s="33"/>
      <c r="K35" s="224"/>
      <c r="L35" s="33">
        <f t="shared" si="0"/>
        <v>0</v>
      </c>
      <c r="M35" s="224"/>
      <c r="N35" s="33">
        <f t="shared" si="1"/>
        <v>0</v>
      </c>
      <c r="O35" s="224"/>
      <c r="P35" s="33">
        <f t="shared" si="2"/>
        <v>0</v>
      </c>
      <c r="Q35" s="224"/>
      <c r="R35" s="33">
        <f t="shared" si="3"/>
        <v>0</v>
      </c>
      <c r="S35" s="224"/>
      <c r="T35" s="33">
        <f t="shared" si="4"/>
        <v>0</v>
      </c>
      <c r="U35" s="224"/>
      <c r="V35" s="33">
        <f t="shared" si="5"/>
        <v>0</v>
      </c>
      <c r="W35" s="224"/>
      <c r="X35" s="33">
        <f t="shared" si="6"/>
        <v>0</v>
      </c>
      <c r="Y35" s="224"/>
      <c r="Z35" s="33">
        <f t="shared" si="7"/>
        <v>0</v>
      </c>
      <c r="AA35" s="224"/>
      <c r="AB35" s="33">
        <f t="shared" si="8"/>
        <v>0</v>
      </c>
      <c r="AC35" s="224"/>
      <c r="AD35" s="33">
        <f t="shared" si="9"/>
        <v>0</v>
      </c>
      <c r="AE35" s="224"/>
      <c r="AF35" s="33">
        <f t="shared" si="10"/>
        <v>0</v>
      </c>
      <c r="AG35" s="224"/>
      <c r="AH35" s="33">
        <f t="shared" si="11"/>
        <v>0</v>
      </c>
      <c r="AI35" s="224"/>
      <c r="AJ35" s="33">
        <f t="shared" si="12"/>
        <v>0</v>
      </c>
      <c r="AK35" s="224"/>
      <c r="AL35" s="33">
        <f t="shared" si="13"/>
        <v>0</v>
      </c>
      <c r="AM35" s="224"/>
      <c r="AN35" s="164">
        <f t="shared" si="14"/>
        <v>0</v>
      </c>
    </row>
    <row r="36" spans="1:40" ht="15.75" customHeight="1">
      <c r="A36" s="235"/>
      <c r="B36" s="228"/>
      <c r="C36" s="33"/>
      <c r="D36" s="33"/>
      <c r="E36" s="33"/>
      <c r="F36" s="33"/>
      <c r="G36" s="224"/>
      <c r="H36" s="33"/>
      <c r="I36" s="224"/>
      <c r="J36" s="33"/>
      <c r="K36" s="224"/>
      <c r="L36" s="33">
        <f t="shared" si="0"/>
        <v>0</v>
      </c>
      <c r="M36" s="224"/>
      <c r="N36" s="33">
        <f t="shared" si="1"/>
        <v>0</v>
      </c>
      <c r="O36" s="224"/>
      <c r="P36" s="33">
        <f t="shared" si="2"/>
        <v>0</v>
      </c>
      <c r="Q36" s="224"/>
      <c r="R36" s="33">
        <f t="shared" si="3"/>
        <v>0</v>
      </c>
      <c r="S36" s="224"/>
      <c r="T36" s="33">
        <f t="shared" si="4"/>
        <v>0</v>
      </c>
      <c r="U36" s="224"/>
      <c r="V36" s="33">
        <f t="shared" si="5"/>
        <v>0</v>
      </c>
      <c r="W36" s="224"/>
      <c r="X36" s="33">
        <f t="shared" si="6"/>
        <v>0</v>
      </c>
      <c r="Y36" s="224"/>
      <c r="Z36" s="33">
        <f t="shared" si="7"/>
        <v>0</v>
      </c>
      <c r="AA36" s="224"/>
      <c r="AB36" s="33">
        <f t="shared" si="8"/>
        <v>0</v>
      </c>
      <c r="AC36" s="224"/>
      <c r="AD36" s="33">
        <f t="shared" si="9"/>
        <v>0</v>
      </c>
      <c r="AE36" s="224"/>
      <c r="AF36" s="33">
        <f t="shared" si="10"/>
        <v>0</v>
      </c>
      <c r="AG36" s="224"/>
      <c r="AH36" s="33">
        <f t="shared" si="11"/>
        <v>0</v>
      </c>
      <c r="AI36" s="224"/>
      <c r="AJ36" s="33">
        <f t="shared" si="12"/>
        <v>0</v>
      </c>
      <c r="AK36" s="224"/>
      <c r="AL36" s="33">
        <f t="shared" si="13"/>
        <v>0</v>
      </c>
      <c r="AM36" s="224"/>
      <c r="AN36" s="164">
        <f t="shared" si="14"/>
        <v>0</v>
      </c>
    </row>
    <row r="37" spans="1:40" ht="15.75" customHeight="1">
      <c r="A37" s="235"/>
      <c r="B37" s="228"/>
      <c r="C37" s="33"/>
      <c r="D37" s="33"/>
      <c r="E37" s="33"/>
      <c r="F37" s="33"/>
      <c r="G37" s="224"/>
      <c r="H37" s="33"/>
      <c r="I37" s="224"/>
      <c r="J37" s="33"/>
      <c r="K37" s="224"/>
      <c r="L37" s="33">
        <f t="shared" si="0"/>
        <v>0</v>
      </c>
      <c r="M37" s="224"/>
      <c r="N37" s="33">
        <f t="shared" si="1"/>
        <v>0</v>
      </c>
      <c r="O37" s="224"/>
      <c r="P37" s="33">
        <f t="shared" si="2"/>
        <v>0</v>
      </c>
      <c r="Q37" s="224"/>
      <c r="R37" s="33">
        <f t="shared" si="3"/>
        <v>0</v>
      </c>
      <c r="S37" s="224"/>
      <c r="T37" s="33">
        <f t="shared" si="4"/>
        <v>0</v>
      </c>
      <c r="U37" s="224"/>
      <c r="V37" s="33">
        <f t="shared" si="5"/>
        <v>0</v>
      </c>
      <c r="W37" s="224"/>
      <c r="X37" s="33">
        <f t="shared" si="6"/>
        <v>0</v>
      </c>
      <c r="Y37" s="224"/>
      <c r="Z37" s="33">
        <f t="shared" si="7"/>
        <v>0</v>
      </c>
      <c r="AA37" s="224"/>
      <c r="AB37" s="33">
        <f t="shared" si="8"/>
        <v>0</v>
      </c>
      <c r="AC37" s="224"/>
      <c r="AD37" s="33">
        <f t="shared" si="9"/>
        <v>0</v>
      </c>
      <c r="AE37" s="224"/>
      <c r="AF37" s="33">
        <f t="shared" si="10"/>
        <v>0</v>
      </c>
      <c r="AG37" s="224"/>
      <c r="AH37" s="33">
        <f t="shared" si="11"/>
        <v>0</v>
      </c>
      <c r="AI37" s="224"/>
      <c r="AJ37" s="33">
        <f t="shared" si="12"/>
        <v>0</v>
      </c>
      <c r="AK37" s="224"/>
      <c r="AL37" s="33">
        <f t="shared" si="13"/>
        <v>0</v>
      </c>
      <c r="AM37" s="224"/>
      <c r="AN37" s="164">
        <f t="shared" si="14"/>
        <v>0</v>
      </c>
    </row>
    <row r="38" spans="1:40" ht="15.75" customHeight="1">
      <c r="A38" s="235"/>
      <c r="B38" s="228"/>
      <c r="C38" s="33"/>
      <c r="D38" s="33"/>
      <c r="E38" s="33"/>
      <c r="F38" s="33"/>
      <c r="G38" s="224"/>
      <c r="H38" s="33"/>
      <c r="I38" s="224"/>
      <c r="J38" s="33"/>
      <c r="K38" s="224"/>
      <c r="L38" s="33">
        <f t="shared" si="0"/>
        <v>0</v>
      </c>
      <c r="M38" s="224"/>
      <c r="N38" s="33">
        <f t="shared" si="1"/>
        <v>0</v>
      </c>
      <c r="O38" s="224"/>
      <c r="P38" s="33">
        <f t="shared" si="2"/>
        <v>0</v>
      </c>
      <c r="Q38" s="224"/>
      <c r="R38" s="33">
        <f t="shared" si="3"/>
        <v>0</v>
      </c>
      <c r="S38" s="224"/>
      <c r="T38" s="33">
        <f t="shared" si="4"/>
        <v>0</v>
      </c>
      <c r="U38" s="224"/>
      <c r="V38" s="33">
        <f t="shared" si="5"/>
        <v>0</v>
      </c>
      <c r="W38" s="224"/>
      <c r="X38" s="33">
        <f t="shared" si="6"/>
        <v>0</v>
      </c>
      <c r="Y38" s="224"/>
      <c r="Z38" s="33">
        <f t="shared" si="7"/>
        <v>0</v>
      </c>
      <c r="AA38" s="224"/>
      <c r="AB38" s="33">
        <f t="shared" si="8"/>
        <v>0</v>
      </c>
      <c r="AC38" s="224"/>
      <c r="AD38" s="33">
        <f t="shared" si="9"/>
        <v>0</v>
      </c>
      <c r="AE38" s="224"/>
      <c r="AF38" s="33">
        <f t="shared" si="10"/>
        <v>0</v>
      </c>
      <c r="AG38" s="224"/>
      <c r="AH38" s="33">
        <f t="shared" si="11"/>
        <v>0</v>
      </c>
      <c r="AI38" s="224"/>
      <c r="AJ38" s="33">
        <f t="shared" si="12"/>
        <v>0</v>
      </c>
      <c r="AK38" s="224"/>
      <c r="AL38" s="33">
        <f t="shared" si="13"/>
        <v>0</v>
      </c>
      <c r="AM38" s="224"/>
      <c r="AN38" s="164">
        <f t="shared" si="14"/>
        <v>0</v>
      </c>
    </row>
    <row r="39" spans="1:40" ht="15.75" customHeight="1">
      <c r="A39" s="235"/>
      <c r="B39" s="228"/>
      <c r="C39" s="33"/>
      <c r="D39" s="33"/>
      <c r="E39" s="33"/>
      <c r="F39" s="33"/>
      <c r="G39" s="224"/>
      <c r="H39" s="33"/>
      <c r="I39" s="224"/>
      <c r="J39" s="33"/>
      <c r="K39" s="224"/>
      <c r="L39" s="33">
        <f t="shared" si="0"/>
        <v>0</v>
      </c>
      <c r="M39" s="224"/>
      <c r="N39" s="33">
        <f t="shared" si="1"/>
        <v>0</v>
      </c>
      <c r="O39" s="224"/>
      <c r="P39" s="33">
        <f t="shared" si="2"/>
        <v>0</v>
      </c>
      <c r="Q39" s="224"/>
      <c r="R39" s="33">
        <f t="shared" si="3"/>
        <v>0</v>
      </c>
      <c r="S39" s="224"/>
      <c r="T39" s="33">
        <f t="shared" si="4"/>
        <v>0</v>
      </c>
      <c r="U39" s="224"/>
      <c r="V39" s="33">
        <f t="shared" si="5"/>
        <v>0</v>
      </c>
      <c r="W39" s="224"/>
      <c r="X39" s="33">
        <f t="shared" si="6"/>
        <v>0</v>
      </c>
      <c r="Y39" s="224"/>
      <c r="Z39" s="33">
        <f t="shared" si="7"/>
        <v>0</v>
      </c>
      <c r="AA39" s="224"/>
      <c r="AB39" s="33">
        <f t="shared" si="8"/>
        <v>0</v>
      </c>
      <c r="AC39" s="224"/>
      <c r="AD39" s="33">
        <f t="shared" si="9"/>
        <v>0</v>
      </c>
      <c r="AE39" s="224"/>
      <c r="AF39" s="33">
        <f t="shared" si="10"/>
        <v>0</v>
      </c>
      <c r="AG39" s="224"/>
      <c r="AH39" s="33">
        <f t="shared" si="11"/>
        <v>0</v>
      </c>
      <c r="AI39" s="224"/>
      <c r="AJ39" s="33">
        <f t="shared" si="12"/>
        <v>0</v>
      </c>
      <c r="AK39" s="224"/>
      <c r="AL39" s="33">
        <f t="shared" si="13"/>
        <v>0</v>
      </c>
      <c r="AM39" s="224"/>
      <c r="AN39" s="164">
        <f t="shared" si="14"/>
        <v>0</v>
      </c>
    </row>
    <row r="40" spans="1:40" ht="15.75" customHeight="1">
      <c r="A40" s="235"/>
      <c r="B40" s="228"/>
      <c r="C40" s="33"/>
      <c r="D40" s="33"/>
      <c r="E40" s="33"/>
      <c r="F40" s="33"/>
      <c r="G40" s="224"/>
      <c r="H40" s="33"/>
      <c r="I40" s="224"/>
      <c r="J40" s="33"/>
      <c r="K40" s="224"/>
      <c r="L40" s="33">
        <f t="shared" si="0"/>
        <v>0</v>
      </c>
      <c r="M40" s="224"/>
      <c r="N40" s="33">
        <f t="shared" si="1"/>
        <v>0</v>
      </c>
      <c r="O40" s="224"/>
      <c r="P40" s="33">
        <f t="shared" si="2"/>
        <v>0</v>
      </c>
      <c r="Q40" s="224"/>
      <c r="R40" s="33">
        <f t="shared" si="3"/>
        <v>0</v>
      </c>
      <c r="S40" s="224"/>
      <c r="T40" s="33">
        <f t="shared" si="4"/>
        <v>0</v>
      </c>
      <c r="U40" s="224"/>
      <c r="V40" s="33">
        <f t="shared" si="5"/>
        <v>0</v>
      </c>
      <c r="W40" s="224"/>
      <c r="X40" s="33">
        <f t="shared" si="6"/>
        <v>0</v>
      </c>
      <c r="Y40" s="224"/>
      <c r="Z40" s="33">
        <f t="shared" si="7"/>
        <v>0</v>
      </c>
      <c r="AA40" s="224"/>
      <c r="AB40" s="33">
        <f t="shared" si="8"/>
        <v>0</v>
      </c>
      <c r="AC40" s="224"/>
      <c r="AD40" s="33">
        <f t="shared" si="9"/>
        <v>0</v>
      </c>
      <c r="AE40" s="224"/>
      <c r="AF40" s="33">
        <f t="shared" si="10"/>
        <v>0</v>
      </c>
      <c r="AG40" s="224"/>
      <c r="AH40" s="33">
        <f t="shared" si="11"/>
        <v>0</v>
      </c>
      <c r="AI40" s="224"/>
      <c r="AJ40" s="33">
        <f t="shared" si="12"/>
        <v>0</v>
      </c>
      <c r="AK40" s="224"/>
      <c r="AL40" s="33">
        <f t="shared" si="13"/>
        <v>0</v>
      </c>
      <c r="AM40" s="224"/>
      <c r="AN40" s="164">
        <f t="shared" si="14"/>
        <v>0</v>
      </c>
    </row>
    <row r="41" spans="1:40" ht="15.75" customHeight="1">
      <c r="A41" s="228"/>
      <c r="B41" s="228"/>
      <c r="C41" s="33"/>
      <c r="D41" s="33"/>
      <c r="E41" s="33"/>
      <c r="F41" s="33"/>
      <c r="G41" s="224"/>
      <c r="H41" s="33"/>
      <c r="I41" s="224"/>
      <c r="J41" s="33"/>
      <c r="K41" s="224"/>
      <c r="L41" s="33">
        <f t="shared" si="0"/>
        <v>0</v>
      </c>
      <c r="M41" s="224"/>
      <c r="N41" s="33">
        <f t="shared" si="1"/>
        <v>0</v>
      </c>
      <c r="O41" s="224"/>
      <c r="P41" s="33">
        <f t="shared" si="2"/>
        <v>0</v>
      </c>
      <c r="Q41" s="224"/>
      <c r="R41" s="33">
        <f t="shared" si="3"/>
        <v>0</v>
      </c>
      <c r="S41" s="224"/>
      <c r="T41" s="33">
        <f t="shared" si="4"/>
        <v>0</v>
      </c>
      <c r="U41" s="224"/>
      <c r="V41" s="33">
        <f t="shared" si="5"/>
        <v>0</v>
      </c>
      <c r="W41" s="224"/>
      <c r="X41" s="33">
        <f t="shared" si="6"/>
        <v>0</v>
      </c>
      <c r="Y41" s="224"/>
      <c r="Z41" s="33">
        <f t="shared" si="7"/>
        <v>0</v>
      </c>
      <c r="AA41" s="224"/>
      <c r="AB41" s="33">
        <f t="shared" si="8"/>
        <v>0</v>
      </c>
      <c r="AC41" s="224"/>
      <c r="AD41" s="33">
        <f t="shared" si="9"/>
        <v>0</v>
      </c>
      <c r="AE41" s="224"/>
      <c r="AF41" s="33">
        <f t="shared" si="10"/>
        <v>0</v>
      </c>
      <c r="AG41" s="224"/>
      <c r="AH41" s="33">
        <f t="shared" si="11"/>
        <v>0</v>
      </c>
      <c r="AI41" s="224"/>
      <c r="AJ41" s="33">
        <f t="shared" si="12"/>
        <v>0</v>
      </c>
      <c r="AK41" s="224"/>
      <c r="AL41" s="33">
        <f t="shared" si="13"/>
        <v>0</v>
      </c>
      <c r="AM41" s="224"/>
      <c r="AN41" s="164">
        <f t="shared" si="14"/>
        <v>0</v>
      </c>
    </row>
    <row r="42" spans="1:40" ht="15.75" customHeight="1">
      <c r="A42" s="228"/>
      <c r="B42" s="228"/>
      <c r="C42" s="33"/>
      <c r="D42" s="33"/>
      <c r="E42" s="33"/>
      <c r="F42" s="33"/>
      <c r="G42" s="224"/>
      <c r="H42" s="33"/>
      <c r="I42" s="224"/>
      <c r="J42" s="33"/>
      <c r="K42" s="224"/>
      <c r="L42" s="33">
        <f t="shared" si="0"/>
        <v>0</v>
      </c>
      <c r="M42" s="224"/>
      <c r="N42" s="33">
        <f t="shared" si="1"/>
        <v>0</v>
      </c>
      <c r="O42" s="224"/>
      <c r="P42" s="33">
        <f t="shared" si="2"/>
        <v>0</v>
      </c>
      <c r="Q42" s="224"/>
      <c r="R42" s="33">
        <f t="shared" si="3"/>
        <v>0</v>
      </c>
      <c r="S42" s="224"/>
      <c r="T42" s="33">
        <f t="shared" si="4"/>
        <v>0</v>
      </c>
      <c r="U42" s="224"/>
      <c r="V42" s="33">
        <f t="shared" si="5"/>
        <v>0</v>
      </c>
      <c r="W42" s="224"/>
      <c r="X42" s="33">
        <f t="shared" si="6"/>
        <v>0</v>
      </c>
      <c r="Y42" s="224"/>
      <c r="Z42" s="33">
        <f t="shared" si="7"/>
        <v>0</v>
      </c>
      <c r="AA42" s="224"/>
      <c r="AB42" s="33">
        <f t="shared" si="8"/>
        <v>0</v>
      </c>
      <c r="AC42" s="224"/>
      <c r="AD42" s="33">
        <f t="shared" si="9"/>
        <v>0</v>
      </c>
      <c r="AE42" s="224"/>
      <c r="AF42" s="33">
        <f t="shared" si="10"/>
        <v>0</v>
      </c>
      <c r="AG42" s="224"/>
      <c r="AH42" s="33">
        <f t="shared" si="11"/>
        <v>0</v>
      </c>
      <c r="AI42" s="224"/>
      <c r="AJ42" s="33">
        <v>4</v>
      </c>
      <c r="AK42" s="224"/>
      <c r="AL42" s="33">
        <f t="shared" si="13"/>
        <v>0</v>
      </c>
      <c r="AM42" s="224"/>
      <c r="AN42" s="164">
        <f t="shared" si="14"/>
        <v>0</v>
      </c>
    </row>
    <row r="43" spans="1:40" ht="15.75" customHeight="1">
      <c r="A43" s="235"/>
      <c r="B43" s="228"/>
      <c r="C43" s="33"/>
      <c r="D43" s="33"/>
      <c r="E43" s="33"/>
      <c r="F43" s="33"/>
      <c r="G43" s="224"/>
      <c r="H43" s="33"/>
      <c r="I43" s="224"/>
      <c r="J43" s="33"/>
      <c r="K43" s="224"/>
      <c r="L43" s="33">
        <f t="shared" si="0"/>
        <v>0</v>
      </c>
      <c r="M43" s="224"/>
      <c r="N43" s="33">
        <f t="shared" si="1"/>
        <v>0</v>
      </c>
      <c r="O43" s="224"/>
      <c r="P43" s="33">
        <f t="shared" si="2"/>
        <v>0</v>
      </c>
      <c r="Q43" s="224"/>
      <c r="R43" s="33">
        <f t="shared" si="3"/>
        <v>0</v>
      </c>
      <c r="S43" s="224"/>
      <c r="T43" s="33">
        <f t="shared" si="4"/>
        <v>0</v>
      </c>
      <c r="U43" s="224"/>
      <c r="V43" s="33">
        <f t="shared" si="5"/>
        <v>0</v>
      </c>
      <c r="W43" s="224"/>
      <c r="X43" s="33">
        <f t="shared" si="6"/>
        <v>0</v>
      </c>
      <c r="Y43" s="224"/>
      <c r="Z43" s="33">
        <f t="shared" si="7"/>
        <v>0</v>
      </c>
      <c r="AA43" s="224"/>
      <c r="AB43" s="33">
        <f t="shared" si="8"/>
        <v>0</v>
      </c>
      <c r="AC43" s="224"/>
      <c r="AD43" s="33">
        <f t="shared" si="9"/>
        <v>0</v>
      </c>
      <c r="AE43" s="224"/>
      <c r="AF43" s="33">
        <f t="shared" si="10"/>
        <v>0</v>
      </c>
      <c r="AG43" s="224"/>
      <c r="AH43" s="33">
        <f t="shared" si="11"/>
        <v>0</v>
      </c>
      <c r="AI43" s="224"/>
      <c r="AJ43" s="33">
        <f t="shared" ref="AJ43:AJ50" si="15">AI43*AJ$2</f>
        <v>0</v>
      </c>
      <c r="AK43" s="224"/>
      <c r="AL43" s="33">
        <f t="shared" si="13"/>
        <v>0</v>
      </c>
      <c r="AM43" s="224"/>
      <c r="AN43" s="164">
        <f t="shared" si="14"/>
        <v>0</v>
      </c>
    </row>
    <row r="44" spans="1:40" ht="15.75" customHeight="1">
      <c r="A44" s="235"/>
      <c r="B44" s="228"/>
      <c r="C44" s="33"/>
      <c r="D44" s="33"/>
      <c r="E44" s="33"/>
      <c r="F44" s="33"/>
      <c r="G44" s="224"/>
      <c r="H44" s="33"/>
      <c r="I44" s="224"/>
      <c r="J44" s="33"/>
      <c r="K44" s="224"/>
      <c r="L44" s="33">
        <f t="shared" si="0"/>
        <v>0</v>
      </c>
      <c r="M44" s="224"/>
      <c r="N44" s="33">
        <f t="shared" si="1"/>
        <v>0</v>
      </c>
      <c r="O44" s="224"/>
      <c r="P44" s="33">
        <f t="shared" si="2"/>
        <v>0</v>
      </c>
      <c r="Q44" s="224"/>
      <c r="R44" s="33">
        <f t="shared" si="3"/>
        <v>0</v>
      </c>
      <c r="S44" s="224"/>
      <c r="T44" s="33">
        <f t="shared" si="4"/>
        <v>0</v>
      </c>
      <c r="U44" s="224"/>
      <c r="V44" s="33">
        <f t="shared" si="5"/>
        <v>0</v>
      </c>
      <c r="W44" s="224"/>
      <c r="X44" s="33">
        <f t="shared" si="6"/>
        <v>0</v>
      </c>
      <c r="Y44" s="224"/>
      <c r="Z44" s="33">
        <f t="shared" si="7"/>
        <v>0</v>
      </c>
      <c r="AA44" s="224"/>
      <c r="AB44" s="33">
        <f t="shared" si="8"/>
        <v>0</v>
      </c>
      <c r="AC44" s="224"/>
      <c r="AD44" s="33">
        <f t="shared" si="9"/>
        <v>0</v>
      </c>
      <c r="AE44" s="224"/>
      <c r="AF44" s="33">
        <f t="shared" si="10"/>
        <v>0</v>
      </c>
      <c r="AG44" s="224"/>
      <c r="AH44" s="33">
        <f t="shared" si="11"/>
        <v>0</v>
      </c>
      <c r="AI44" s="224"/>
      <c r="AJ44" s="33">
        <f t="shared" si="15"/>
        <v>0</v>
      </c>
      <c r="AK44" s="224"/>
      <c r="AL44" s="33">
        <f t="shared" si="13"/>
        <v>0</v>
      </c>
      <c r="AM44" s="224"/>
      <c r="AN44" s="164">
        <f t="shared" si="14"/>
        <v>0</v>
      </c>
    </row>
    <row r="45" spans="1:40" ht="15.75" customHeight="1">
      <c r="A45" s="235"/>
      <c r="B45" s="228"/>
      <c r="C45" s="33"/>
      <c r="D45" s="33"/>
      <c r="E45" s="33"/>
      <c r="F45" s="33"/>
      <c r="G45" s="224"/>
      <c r="H45" s="33"/>
      <c r="I45" s="224"/>
      <c r="J45" s="33"/>
      <c r="K45" s="224"/>
      <c r="L45" s="33">
        <f t="shared" si="0"/>
        <v>0</v>
      </c>
      <c r="M45" s="224"/>
      <c r="N45" s="33">
        <f t="shared" si="1"/>
        <v>0</v>
      </c>
      <c r="O45" s="224"/>
      <c r="P45" s="33">
        <f t="shared" si="2"/>
        <v>0</v>
      </c>
      <c r="Q45" s="224"/>
      <c r="R45" s="33">
        <f t="shared" si="3"/>
        <v>0</v>
      </c>
      <c r="S45" s="224"/>
      <c r="T45" s="33">
        <f t="shared" si="4"/>
        <v>0</v>
      </c>
      <c r="U45" s="224"/>
      <c r="V45" s="33">
        <f t="shared" si="5"/>
        <v>0</v>
      </c>
      <c r="W45" s="224"/>
      <c r="X45" s="33">
        <f t="shared" si="6"/>
        <v>0</v>
      </c>
      <c r="Y45" s="224"/>
      <c r="Z45" s="33">
        <f t="shared" si="7"/>
        <v>0</v>
      </c>
      <c r="AA45" s="224"/>
      <c r="AB45" s="33">
        <f t="shared" si="8"/>
        <v>0</v>
      </c>
      <c r="AC45" s="224"/>
      <c r="AD45" s="33">
        <f t="shared" si="9"/>
        <v>0</v>
      </c>
      <c r="AE45" s="224"/>
      <c r="AF45" s="33">
        <f t="shared" si="10"/>
        <v>0</v>
      </c>
      <c r="AG45" s="224"/>
      <c r="AH45" s="33">
        <f t="shared" si="11"/>
        <v>0</v>
      </c>
      <c r="AI45" s="224"/>
      <c r="AJ45" s="33">
        <f t="shared" si="15"/>
        <v>0</v>
      </c>
      <c r="AK45" s="224"/>
      <c r="AL45" s="33">
        <f t="shared" si="13"/>
        <v>0</v>
      </c>
      <c r="AM45" s="224"/>
      <c r="AN45" s="164">
        <f t="shared" si="14"/>
        <v>0</v>
      </c>
    </row>
    <row r="46" spans="1:40" ht="15.75" customHeight="1">
      <c r="A46" s="236"/>
      <c r="B46" s="228"/>
      <c r="C46" s="33"/>
      <c r="D46" s="33"/>
      <c r="E46" s="33"/>
      <c r="F46" s="33"/>
      <c r="G46" s="224"/>
      <c r="H46" s="33"/>
      <c r="I46" s="224"/>
      <c r="J46" s="33"/>
      <c r="K46" s="224"/>
      <c r="L46" s="33">
        <f t="shared" si="0"/>
        <v>0</v>
      </c>
      <c r="M46" s="224"/>
      <c r="N46" s="33">
        <f t="shared" si="1"/>
        <v>0</v>
      </c>
      <c r="O46" s="224"/>
      <c r="P46" s="33">
        <f t="shared" si="2"/>
        <v>0</v>
      </c>
      <c r="Q46" s="224"/>
      <c r="R46" s="33">
        <f t="shared" si="3"/>
        <v>0</v>
      </c>
      <c r="S46" s="224"/>
      <c r="T46" s="33">
        <f t="shared" si="4"/>
        <v>0</v>
      </c>
      <c r="U46" s="224"/>
      <c r="V46" s="33">
        <f t="shared" si="5"/>
        <v>0</v>
      </c>
      <c r="W46" s="224"/>
      <c r="X46" s="33">
        <f t="shared" si="6"/>
        <v>0</v>
      </c>
      <c r="Y46" s="224"/>
      <c r="Z46" s="33">
        <f t="shared" si="7"/>
        <v>0</v>
      </c>
      <c r="AA46" s="224"/>
      <c r="AB46" s="33">
        <f t="shared" si="8"/>
        <v>0</v>
      </c>
      <c r="AC46" s="224"/>
      <c r="AD46" s="33">
        <f t="shared" si="9"/>
        <v>0</v>
      </c>
      <c r="AE46" s="224"/>
      <c r="AF46" s="33">
        <f t="shared" si="10"/>
        <v>0</v>
      </c>
      <c r="AG46" s="224"/>
      <c r="AH46" s="33">
        <f t="shared" si="11"/>
        <v>0</v>
      </c>
      <c r="AI46" s="224"/>
      <c r="AJ46" s="33">
        <f t="shared" si="15"/>
        <v>0</v>
      </c>
      <c r="AK46" s="224"/>
      <c r="AL46" s="33">
        <f t="shared" si="13"/>
        <v>0</v>
      </c>
      <c r="AM46" s="224"/>
      <c r="AN46" s="164">
        <f t="shared" si="14"/>
        <v>0</v>
      </c>
    </row>
    <row r="47" spans="1:40" ht="15.75" customHeight="1">
      <c r="A47" s="236"/>
      <c r="B47" s="228"/>
      <c r="C47" s="33"/>
      <c r="D47" s="33"/>
      <c r="E47" s="33"/>
      <c r="F47" s="33"/>
      <c r="G47" s="224"/>
      <c r="H47" s="33"/>
      <c r="I47" s="224"/>
      <c r="J47" s="33"/>
      <c r="K47" s="224"/>
      <c r="L47" s="33">
        <f t="shared" si="0"/>
        <v>0</v>
      </c>
      <c r="M47" s="224"/>
      <c r="N47" s="33">
        <f t="shared" si="1"/>
        <v>0</v>
      </c>
      <c r="O47" s="224"/>
      <c r="P47" s="33">
        <f t="shared" si="2"/>
        <v>0</v>
      </c>
      <c r="Q47" s="224"/>
      <c r="R47" s="33">
        <f t="shared" si="3"/>
        <v>0</v>
      </c>
      <c r="S47" s="224"/>
      <c r="T47" s="33">
        <f t="shared" si="4"/>
        <v>0</v>
      </c>
      <c r="U47" s="224"/>
      <c r="V47" s="33">
        <f t="shared" si="5"/>
        <v>0</v>
      </c>
      <c r="W47" s="224"/>
      <c r="X47" s="33">
        <f t="shared" si="6"/>
        <v>0</v>
      </c>
      <c r="Y47" s="224"/>
      <c r="Z47" s="33">
        <f t="shared" si="7"/>
        <v>0</v>
      </c>
      <c r="AA47" s="224"/>
      <c r="AB47" s="33">
        <f t="shared" si="8"/>
        <v>0</v>
      </c>
      <c r="AC47" s="224"/>
      <c r="AD47" s="33">
        <f t="shared" si="9"/>
        <v>0</v>
      </c>
      <c r="AE47" s="224"/>
      <c r="AF47" s="33">
        <f t="shared" si="10"/>
        <v>0</v>
      </c>
      <c r="AG47" s="224"/>
      <c r="AH47" s="33">
        <f t="shared" si="11"/>
        <v>0</v>
      </c>
      <c r="AI47" s="224"/>
      <c r="AJ47" s="33">
        <f t="shared" si="15"/>
        <v>0</v>
      </c>
      <c r="AK47" s="224"/>
      <c r="AL47" s="33">
        <f t="shared" si="13"/>
        <v>0</v>
      </c>
      <c r="AM47" s="224"/>
      <c r="AN47" s="164">
        <f t="shared" si="14"/>
        <v>0</v>
      </c>
    </row>
    <row r="48" spans="1:40" ht="15.75" customHeight="1">
      <c r="A48" s="228"/>
      <c r="B48" s="228"/>
      <c r="C48" s="33"/>
      <c r="D48" s="33"/>
      <c r="E48" s="33"/>
      <c r="F48" s="33"/>
      <c r="G48" s="224"/>
      <c r="H48" s="33"/>
      <c r="I48" s="224"/>
      <c r="J48" s="33"/>
      <c r="K48" s="224"/>
      <c r="L48" s="33">
        <f t="shared" si="0"/>
        <v>0</v>
      </c>
      <c r="M48" s="224"/>
      <c r="N48" s="33">
        <f t="shared" si="1"/>
        <v>0</v>
      </c>
      <c r="O48" s="224"/>
      <c r="P48" s="33">
        <f t="shared" si="2"/>
        <v>0</v>
      </c>
      <c r="Q48" s="224"/>
      <c r="R48" s="33">
        <f t="shared" si="3"/>
        <v>0</v>
      </c>
      <c r="S48" s="224"/>
      <c r="T48" s="33">
        <f t="shared" si="4"/>
        <v>0</v>
      </c>
      <c r="U48" s="224"/>
      <c r="V48" s="33">
        <f t="shared" si="5"/>
        <v>0</v>
      </c>
      <c r="W48" s="224"/>
      <c r="X48" s="33">
        <f t="shared" si="6"/>
        <v>0</v>
      </c>
      <c r="Y48" s="224"/>
      <c r="Z48" s="33">
        <f t="shared" si="7"/>
        <v>0</v>
      </c>
      <c r="AA48" s="224"/>
      <c r="AB48" s="33">
        <f t="shared" si="8"/>
        <v>0</v>
      </c>
      <c r="AC48" s="224"/>
      <c r="AD48" s="33">
        <f t="shared" si="9"/>
        <v>0</v>
      </c>
      <c r="AE48" s="224"/>
      <c r="AF48" s="33">
        <f t="shared" si="10"/>
        <v>0</v>
      </c>
      <c r="AG48" s="224"/>
      <c r="AH48" s="33">
        <f t="shared" si="11"/>
        <v>0</v>
      </c>
      <c r="AI48" s="224"/>
      <c r="AJ48" s="33">
        <f t="shared" si="15"/>
        <v>0</v>
      </c>
      <c r="AK48" s="224"/>
      <c r="AL48" s="33">
        <f t="shared" si="13"/>
        <v>0</v>
      </c>
      <c r="AM48" s="224"/>
      <c r="AN48" s="164">
        <f t="shared" si="14"/>
        <v>0</v>
      </c>
    </row>
    <row r="49" spans="1:40" ht="15.75" customHeight="1">
      <c r="A49" s="228"/>
      <c r="B49" s="228"/>
      <c r="C49" s="33"/>
      <c r="D49" s="33"/>
      <c r="E49" s="33"/>
      <c r="F49" s="33"/>
      <c r="G49" s="224"/>
      <c r="H49" s="33"/>
      <c r="I49" s="224"/>
      <c r="J49" s="33"/>
      <c r="K49" s="224"/>
      <c r="L49" s="33">
        <f t="shared" si="0"/>
        <v>0</v>
      </c>
      <c r="M49" s="224"/>
      <c r="N49" s="33">
        <f t="shared" si="1"/>
        <v>0</v>
      </c>
      <c r="O49" s="224"/>
      <c r="P49" s="33">
        <f t="shared" si="2"/>
        <v>0</v>
      </c>
      <c r="Q49" s="224"/>
      <c r="R49" s="33">
        <f t="shared" si="3"/>
        <v>0</v>
      </c>
      <c r="S49" s="224"/>
      <c r="T49" s="33">
        <f t="shared" si="4"/>
        <v>0</v>
      </c>
      <c r="U49" s="224"/>
      <c r="V49" s="33">
        <f t="shared" si="5"/>
        <v>0</v>
      </c>
      <c r="W49" s="224"/>
      <c r="X49" s="33">
        <f t="shared" si="6"/>
        <v>0</v>
      </c>
      <c r="Y49" s="224"/>
      <c r="Z49" s="33">
        <f t="shared" si="7"/>
        <v>0</v>
      </c>
      <c r="AA49" s="224"/>
      <c r="AB49" s="33">
        <f t="shared" si="8"/>
        <v>0</v>
      </c>
      <c r="AC49" s="224"/>
      <c r="AD49" s="33">
        <f t="shared" si="9"/>
        <v>0</v>
      </c>
      <c r="AE49" s="224"/>
      <c r="AF49" s="33">
        <f t="shared" si="10"/>
        <v>0</v>
      </c>
      <c r="AG49" s="224"/>
      <c r="AH49" s="33">
        <f t="shared" si="11"/>
        <v>0</v>
      </c>
      <c r="AI49" s="224"/>
      <c r="AJ49" s="33">
        <f t="shared" si="15"/>
        <v>0</v>
      </c>
      <c r="AK49" s="224"/>
      <c r="AL49" s="33">
        <f t="shared" si="13"/>
        <v>0</v>
      </c>
      <c r="AM49" s="224"/>
      <c r="AN49" s="164">
        <f t="shared" si="14"/>
        <v>0</v>
      </c>
    </row>
    <row r="50" spans="1:40" ht="15.75" customHeight="1">
      <c r="A50" s="229"/>
      <c r="B50" s="228"/>
      <c r="C50" s="230"/>
      <c r="D50" s="230"/>
      <c r="E50" s="230"/>
      <c r="F50" s="230"/>
      <c r="G50" s="231"/>
      <c r="H50" s="230"/>
      <c r="I50" s="231"/>
      <c r="J50" s="230"/>
      <c r="K50" s="231"/>
      <c r="L50" s="230">
        <f t="shared" si="0"/>
        <v>0</v>
      </c>
      <c r="M50" s="231"/>
      <c r="N50" s="230">
        <f t="shared" si="1"/>
        <v>0</v>
      </c>
      <c r="O50" s="231"/>
      <c r="P50" s="230">
        <f t="shared" si="2"/>
        <v>0</v>
      </c>
      <c r="Q50" s="231"/>
      <c r="R50" s="230">
        <f t="shared" si="3"/>
        <v>0</v>
      </c>
      <c r="S50" s="231"/>
      <c r="T50" s="230">
        <f t="shared" si="4"/>
        <v>0</v>
      </c>
      <c r="U50" s="231"/>
      <c r="V50" s="230">
        <f t="shared" si="5"/>
        <v>0</v>
      </c>
      <c r="W50" s="231"/>
      <c r="X50" s="230">
        <f t="shared" si="6"/>
        <v>0</v>
      </c>
      <c r="Y50" s="231"/>
      <c r="Z50" s="230">
        <f t="shared" si="7"/>
        <v>0</v>
      </c>
      <c r="AA50" s="231"/>
      <c r="AB50" s="230">
        <f t="shared" si="8"/>
        <v>0</v>
      </c>
      <c r="AC50" s="231"/>
      <c r="AD50" s="230">
        <f t="shared" si="9"/>
        <v>0</v>
      </c>
      <c r="AE50" s="231"/>
      <c r="AF50" s="230">
        <f t="shared" si="10"/>
        <v>0</v>
      </c>
      <c r="AG50" s="231"/>
      <c r="AH50" s="230">
        <f t="shared" si="11"/>
        <v>0</v>
      </c>
      <c r="AI50" s="231"/>
      <c r="AJ50" s="230">
        <f t="shared" si="15"/>
        <v>0</v>
      </c>
      <c r="AK50" s="231"/>
      <c r="AL50" s="230">
        <f t="shared" si="13"/>
        <v>0</v>
      </c>
      <c r="AM50" s="231"/>
      <c r="AN50" s="232">
        <f t="shared" si="14"/>
        <v>0</v>
      </c>
    </row>
    <row r="51" spans="1:40" ht="15.75" customHeight="1">
      <c r="A51" s="33" t="s">
        <v>1</v>
      </c>
      <c r="B51" s="33"/>
      <c r="C51" s="33"/>
      <c r="D51" s="33">
        <f>SUM(D33:D50)</f>
        <v>0</v>
      </c>
      <c r="E51" s="33">
        <f>SUM(E33:E50)</f>
        <v>0</v>
      </c>
      <c r="F51" s="33"/>
      <c r="G51" s="33">
        <f>SUM(G33:G50)</f>
        <v>0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1:40" ht="15.75" customHeight="1">
      <c r="A52" s="153" t="s">
        <v>252</v>
      </c>
      <c r="B52" s="153"/>
      <c r="C52" s="33"/>
      <c r="D52" s="233" t="e">
        <f>AVERAGE(D33:D50)</f>
        <v>#DIV/0!</v>
      </c>
      <c r="E52" s="233" t="e">
        <f>AVERAGE(E33:E50)</f>
        <v>#DIV/0!</v>
      </c>
      <c r="F52" s="233"/>
      <c r="G52" s="233">
        <f>SUM(G33:G50)/20</f>
        <v>0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1:40" ht="15.75" customHeight="1">
      <c r="B53" s="237"/>
      <c r="C53" s="238"/>
    </row>
    <row r="54" spans="1:40" ht="15.75" customHeight="1">
      <c r="B54" s="237"/>
      <c r="C54" s="238"/>
    </row>
    <row r="55" spans="1:40" ht="15.75" customHeight="1">
      <c r="A55" s="239"/>
      <c r="B55" s="239"/>
    </row>
    <row r="56" spans="1:40" ht="15.75" customHeight="1">
      <c r="B56" s="240"/>
    </row>
    <row r="57" spans="1:40" ht="15.75" customHeight="1">
      <c r="B57" s="240"/>
    </row>
    <row r="58" spans="1:40" ht="15.75" customHeight="1"/>
    <row r="59" spans="1:40" ht="15.75" customHeight="1">
      <c r="A59" s="241" t="s">
        <v>256</v>
      </c>
      <c r="B59" s="126" t="s">
        <v>257</v>
      </c>
      <c r="C59" s="239"/>
    </row>
    <row r="60" spans="1:40" ht="15.75" customHeight="1">
      <c r="A60" s="133">
        <v>1</v>
      </c>
      <c r="B60" s="242">
        <f t="shared" ref="B60:B71" si="16">A60/12</f>
        <v>8.3333333333333329E-2</v>
      </c>
    </row>
    <row r="61" spans="1:40" ht="15.75" customHeight="1">
      <c r="A61" s="133">
        <v>2</v>
      </c>
      <c r="B61" s="242">
        <f t="shared" si="16"/>
        <v>0.16666666666666666</v>
      </c>
    </row>
    <row r="62" spans="1:40" ht="15.75" customHeight="1">
      <c r="A62" s="133">
        <v>3</v>
      </c>
      <c r="B62" s="242">
        <f t="shared" si="16"/>
        <v>0.25</v>
      </c>
    </row>
    <row r="63" spans="1:40" ht="15.75" customHeight="1">
      <c r="A63" s="133">
        <v>4</v>
      </c>
      <c r="B63" s="242">
        <f t="shared" si="16"/>
        <v>0.33333333333333331</v>
      </c>
    </row>
    <row r="64" spans="1:40" ht="15.75" customHeight="1">
      <c r="A64" s="133">
        <v>5</v>
      </c>
      <c r="B64" s="242">
        <f t="shared" si="16"/>
        <v>0.41666666666666669</v>
      </c>
    </row>
    <row r="65" spans="1:32" ht="15.75" customHeight="1">
      <c r="A65" s="133">
        <v>6</v>
      </c>
      <c r="B65" s="242">
        <f t="shared" si="16"/>
        <v>0.5</v>
      </c>
    </row>
    <row r="66" spans="1:32" ht="15.75" customHeight="1">
      <c r="A66" s="133">
        <v>7</v>
      </c>
      <c r="B66" s="242">
        <f t="shared" si="16"/>
        <v>0.58333333333333337</v>
      </c>
    </row>
    <row r="67" spans="1:32" ht="15.75" customHeight="1">
      <c r="A67" s="133">
        <v>8</v>
      </c>
      <c r="B67" s="242">
        <f t="shared" si="16"/>
        <v>0.66666666666666663</v>
      </c>
    </row>
    <row r="68" spans="1:32" ht="15.75" customHeight="1">
      <c r="A68" s="133">
        <v>9</v>
      </c>
      <c r="B68" s="242">
        <f t="shared" si="16"/>
        <v>0.75</v>
      </c>
    </row>
    <row r="69" spans="1:32" ht="15.75" customHeight="1">
      <c r="A69" s="133">
        <v>10</v>
      </c>
      <c r="B69" s="242">
        <f t="shared" si="16"/>
        <v>0.83333333333333337</v>
      </c>
    </row>
    <row r="70" spans="1:32" ht="15.75" customHeight="1">
      <c r="A70" s="133">
        <v>11</v>
      </c>
      <c r="B70" s="242">
        <f t="shared" si="16"/>
        <v>0.91666666666666663</v>
      </c>
    </row>
    <row r="71" spans="1:32" ht="15.75" customHeight="1">
      <c r="A71" s="140">
        <v>12</v>
      </c>
      <c r="B71" s="243">
        <f t="shared" si="16"/>
        <v>1</v>
      </c>
    </row>
    <row r="72" spans="1:32" ht="15.75" customHeight="1"/>
    <row r="73" spans="1:32" ht="15.75" customHeight="1"/>
    <row r="74" spans="1:32" ht="15.75" customHeight="1"/>
    <row r="75" spans="1:32" ht="15.75" customHeight="1"/>
    <row r="76" spans="1:32" ht="15.75" customHeight="1"/>
    <row r="77" spans="1:32" ht="15.75" customHeight="1"/>
    <row r="78" spans="1:32" ht="15.75" customHeight="1"/>
    <row r="79" spans="1:32" ht="15.75" customHeight="1">
      <c r="A79" s="155" t="s">
        <v>258</v>
      </c>
      <c r="B79" s="155" t="s">
        <v>259</v>
      </c>
    </row>
    <row r="80" spans="1:32" ht="15.75" customHeight="1">
      <c r="A80" s="235" t="s">
        <v>179</v>
      </c>
      <c r="B80" s="238">
        <v>0.8</v>
      </c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</row>
    <row r="81" spans="1:2" ht="15.75" customHeight="1">
      <c r="A81" s="235" t="s">
        <v>180</v>
      </c>
      <c r="B81" s="238">
        <v>0.7</v>
      </c>
    </row>
    <row r="82" spans="1:2" ht="15.75" customHeight="1">
      <c r="A82" s="235" t="s">
        <v>181</v>
      </c>
      <c r="B82" s="238">
        <v>0.8</v>
      </c>
    </row>
    <row r="83" spans="1:2" ht="15.75" customHeight="1">
      <c r="A83" s="235" t="s">
        <v>182</v>
      </c>
      <c r="B83" s="238">
        <v>0.8</v>
      </c>
    </row>
    <row r="84" spans="1:2" ht="15.75" customHeight="1">
      <c r="A84" s="235" t="s">
        <v>183</v>
      </c>
      <c r="B84" s="238">
        <v>0.7</v>
      </c>
    </row>
    <row r="85" spans="1:2" ht="15.75" customHeight="1">
      <c r="A85" s="235" t="s">
        <v>184</v>
      </c>
      <c r="B85" s="238">
        <v>0.6</v>
      </c>
    </row>
    <row r="86" spans="1:2" ht="15.75" customHeight="1">
      <c r="A86" s="235" t="s">
        <v>185</v>
      </c>
      <c r="B86" s="238">
        <v>0.7</v>
      </c>
    </row>
    <row r="87" spans="1:2" ht="15.75" customHeight="1">
      <c r="A87" s="235" t="s">
        <v>186</v>
      </c>
      <c r="B87" s="238">
        <v>0.8</v>
      </c>
    </row>
    <row r="88" spans="1:2" ht="15.75" customHeight="1">
      <c r="A88" s="235" t="s">
        <v>187</v>
      </c>
      <c r="B88" s="238">
        <v>0.6</v>
      </c>
    </row>
    <row r="89" spans="1:2" ht="15.75" customHeight="1">
      <c r="A89" s="235" t="s">
        <v>188</v>
      </c>
      <c r="B89" s="238">
        <v>0.5</v>
      </c>
    </row>
    <row r="90" spans="1:2" ht="15.75" customHeight="1">
      <c r="A90" s="235" t="s">
        <v>189</v>
      </c>
      <c r="B90" s="238">
        <v>0.5</v>
      </c>
    </row>
    <row r="91" spans="1:2" ht="15.75" customHeight="1">
      <c r="A91" s="235" t="s">
        <v>190</v>
      </c>
      <c r="B91" s="238">
        <v>0.5</v>
      </c>
    </row>
    <row r="92" spans="1:2" ht="15.75" customHeight="1">
      <c r="A92" s="235" t="s">
        <v>191</v>
      </c>
      <c r="B92" s="238">
        <v>0.3</v>
      </c>
    </row>
    <row r="93" spans="1:2" ht="15.75" customHeight="1">
      <c r="A93" s="235" t="s">
        <v>192</v>
      </c>
      <c r="B93" s="238">
        <v>0.4</v>
      </c>
    </row>
    <row r="94" spans="1:2" ht="15.75" customHeight="1">
      <c r="A94" s="235" t="s">
        <v>193</v>
      </c>
      <c r="B94" s="238">
        <v>0.5</v>
      </c>
    </row>
    <row r="95" spans="1:2" ht="15.75" customHeight="1">
      <c r="A95" s="235" t="s">
        <v>260</v>
      </c>
      <c r="B95" s="238">
        <v>0.7</v>
      </c>
    </row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00"/>
  <sheetViews>
    <sheetView workbookViewId="0"/>
  </sheetViews>
  <sheetFormatPr defaultColWidth="14.42578125" defaultRowHeight="15" customHeight="1"/>
  <cols>
    <col min="1" max="1" width="29.28515625" customWidth="1"/>
    <col min="2" max="2" width="20.7109375" customWidth="1"/>
    <col min="3" max="3" width="16.140625" customWidth="1"/>
    <col min="4" max="4" width="32.85546875" customWidth="1"/>
    <col min="5" max="5" width="16.140625" customWidth="1"/>
    <col min="6" max="6" width="18.7109375" customWidth="1"/>
    <col min="7" max="7" width="8.7109375" customWidth="1"/>
    <col min="8" max="8" width="11" customWidth="1"/>
    <col min="9" max="9" width="11.28515625" customWidth="1"/>
    <col min="10" max="11" width="8.7109375" customWidth="1"/>
    <col min="12" max="12" width="10.5703125" customWidth="1"/>
    <col min="13" max="13" width="8.7109375" customWidth="1"/>
    <col min="14" max="14" width="10.5703125" customWidth="1"/>
    <col min="15" max="15" width="8.7109375" customWidth="1"/>
    <col min="16" max="16" width="10.5703125" customWidth="1"/>
    <col min="17" max="17" width="8.7109375" customWidth="1"/>
    <col min="18" max="18" width="10.5703125" customWidth="1"/>
    <col min="19" max="19" width="8.7109375" customWidth="1"/>
    <col min="20" max="20" width="10.5703125" customWidth="1"/>
    <col min="21" max="21" width="8.7109375" customWidth="1"/>
    <col min="22" max="22" width="10.5703125" customWidth="1"/>
    <col min="23" max="23" width="8.7109375" customWidth="1"/>
    <col min="24" max="24" width="10.5703125" customWidth="1"/>
    <col min="25" max="25" width="8.7109375" customWidth="1"/>
    <col min="26" max="26" width="10.5703125" customWidth="1"/>
    <col min="27" max="27" width="8.7109375" customWidth="1"/>
    <col min="28" max="28" width="9.7109375" customWidth="1"/>
    <col min="29" max="29" width="8.7109375" customWidth="1"/>
    <col min="30" max="30" width="9.7109375" customWidth="1"/>
    <col min="31" max="31" width="8.7109375" customWidth="1"/>
    <col min="32" max="32" width="9.7109375" customWidth="1"/>
    <col min="33" max="33" width="8.7109375" customWidth="1"/>
    <col min="34" max="34" width="9.7109375" customWidth="1"/>
    <col min="35" max="35" width="11.5703125" customWidth="1"/>
    <col min="36" max="36" width="16.28515625" customWidth="1"/>
  </cols>
  <sheetData>
    <row r="1" spans="1:6">
      <c r="A1" s="124"/>
      <c r="B1" s="125"/>
    </row>
    <row r="2" spans="1:6">
      <c r="A2" s="244"/>
      <c r="B2" s="102"/>
    </row>
    <row r="3" spans="1:6">
      <c r="A3" s="124" t="str">
        <f>Controls!C2</f>
        <v>Billable time worksheet</v>
      </c>
      <c r="B3" s="125"/>
      <c r="C3" s="126"/>
      <c r="E3" s="13" t="s">
        <v>261</v>
      </c>
    </row>
    <row r="4" spans="1:6">
      <c r="A4" s="244"/>
      <c r="B4" s="245" t="str">
        <f>Controls!D3</f>
        <v>Mins</v>
      </c>
      <c r="C4" s="246" t="str">
        <f>Controls!E3</f>
        <v>Hours</v>
      </c>
      <c r="E4" s="139">
        <v>0.16711806623841974</v>
      </c>
      <c r="F4" s="139">
        <f>(E4-1)*-1</f>
        <v>0.83288193376158026</v>
      </c>
    </row>
    <row r="5" spans="1:6">
      <c r="A5" s="247" t="str">
        <f>Controls!C4</f>
        <v>Time in day</v>
      </c>
      <c r="B5" s="245">
        <f>Controls!D4</f>
        <v>480</v>
      </c>
      <c r="C5" s="246">
        <f>Controls!E4</f>
        <v>8</v>
      </c>
    </row>
    <row r="6" spans="1:6">
      <c r="A6" s="244" t="str">
        <f>Controls!C5</f>
        <v>Daily Breaks</v>
      </c>
      <c r="B6" s="13">
        <f>Controls!D5</f>
        <v>30</v>
      </c>
      <c r="C6" s="135">
        <f>Controls!E5</f>
        <v>0.5</v>
      </c>
    </row>
    <row r="7" spans="1:6">
      <c r="A7" s="244" t="str">
        <f>Controls!C6</f>
        <v>Daily Lunches</v>
      </c>
      <c r="B7" s="13">
        <f>Controls!D6</f>
        <v>0</v>
      </c>
      <c r="C7" s="135">
        <f>Controls!E6</f>
        <v>0</v>
      </c>
    </row>
    <row r="8" spans="1:6">
      <c r="A8" s="244" t="str">
        <f>Controls!C7</f>
        <v>Daily Clean up</v>
      </c>
      <c r="B8" s="13">
        <f>Controls!D7</f>
        <v>15</v>
      </c>
      <c r="C8" s="135">
        <f>Controls!E7</f>
        <v>0.25</v>
      </c>
    </row>
    <row r="9" spans="1:6">
      <c r="A9" s="244" t="str">
        <f>Controls!C8</f>
        <v xml:space="preserve">Daily Meetings </v>
      </c>
      <c r="B9" s="13">
        <f>Controls!D8</f>
        <v>9</v>
      </c>
      <c r="C9" s="135">
        <f>Controls!E8</f>
        <v>0.15</v>
      </c>
    </row>
    <row r="10" spans="1:6">
      <c r="A10" s="244" t="str">
        <f>Controls!C9</f>
        <v>Total reduction</v>
      </c>
      <c r="B10" s="13">
        <f>Controls!D9</f>
        <v>-54</v>
      </c>
      <c r="C10" s="135">
        <f>Controls!E9</f>
        <v>-0.9</v>
      </c>
    </row>
    <row r="11" spans="1:6">
      <c r="A11" s="244"/>
      <c r="C11" s="135"/>
    </row>
    <row r="12" spans="1:6">
      <c r="A12" s="244" t="str">
        <f>Controls!C11</f>
        <v xml:space="preserve">Daily billiable </v>
      </c>
      <c r="B12" s="99">
        <f>Controls!D11</f>
        <v>-18</v>
      </c>
      <c r="C12" s="135">
        <f>Controls!E11</f>
        <v>-0.3</v>
      </c>
    </row>
    <row r="13" spans="1:6">
      <c r="A13" s="244" t="str">
        <f>Controls!C12</f>
        <v>Total billable time in day</v>
      </c>
      <c r="B13" s="245">
        <f>Controls!D12</f>
        <v>462</v>
      </c>
      <c r="C13" s="248">
        <f>Controls!E12</f>
        <v>7.7</v>
      </c>
    </row>
    <row r="14" spans="1:6">
      <c r="A14" s="247" t="str">
        <f>Controls!C13</f>
        <v>Total billable time with OT</v>
      </c>
      <c r="B14" s="245">
        <f>Controls!D13</f>
        <v>475.86</v>
      </c>
      <c r="C14" s="249">
        <f>Controls!E13</f>
        <v>7.931</v>
      </c>
    </row>
    <row r="15" spans="1:6">
      <c r="A15" s="244"/>
      <c r="C15" s="135"/>
    </row>
    <row r="16" spans="1:6">
      <c r="A16" s="250" t="str">
        <f>Controls!C15</f>
        <v>Overtime Assumption</v>
      </c>
      <c r="B16" s="128"/>
      <c r="C16" s="251">
        <f>Controls!E15</f>
        <v>0.03</v>
      </c>
    </row>
    <row r="17" spans="1:36">
      <c r="A17" s="252"/>
    </row>
    <row r="18" spans="1:36">
      <c r="A18" s="124" t="s">
        <v>262</v>
      </c>
      <c r="B18" s="125">
        <f>'Man Hours &amp; Costs'!O6</f>
        <v>249</v>
      </c>
      <c r="C18" s="126"/>
    </row>
    <row r="19" spans="1:36">
      <c r="A19" s="250" t="s">
        <v>263</v>
      </c>
      <c r="B19" s="128">
        <f>B18/12</f>
        <v>20.75</v>
      </c>
      <c r="C19" s="129"/>
    </row>
    <row r="20" spans="1:36">
      <c r="A20" s="252"/>
    </row>
    <row r="21" spans="1:36" ht="15.75" customHeight="1">
      <c r="A21" s="124" t="s">
        <v>264</v>
      </c>
      <c r="B21" s="125">
        <f>COUNTA(D27:D41)</f>
        <v>8</v>
      </c>
      <c r="C21" s="126"/>
    </row>
    <row r="22" spans="1:36" ht="15.75" customHeight="1">
      <c r="A22" s="250" t="s">
        <v>265</v>
      </c>
      <c r="B22" s="128">
        <f>COUNTA(D58:D67)</f>
        <v>1</v>
      </c>
      <c r="C22" s="129"/>
    </row>
    <row r="23" spans="1:36" ht="15.75" customHeight="1">
      <c r="A23" s="252"/>
    </row>
    <row r="24" spans="1:36" ht="15.75" customHeight="1">
      <c r="A24" s="252"/>
    </row>
    <row r="25" spans="1:36" ht="15.75" customHeight="1">
      <c r="A25" s="252"/>
    </row>
    <row r="26" spans="1:36" ht="15.75" customHeight="1">
      <c r="A26" s="253" t="s">
        <v>266</v>
      </c>
      <c r="B26" s="254" t="s">
        <v>267</v>
      </c>
      <c r="C26" s="254" t="s">
        <v>268</v>
      </c>
      <c r="D26" s="255" t="s">
        <v>255</v>
      </c>
      <c r="E26" s="255" t="s">
        <v>269</v>
      </c>
      <c r="F26" s="255" t="s">
        <v>270</v>
      </c>
      <c r="G26" s="255" t="s">
        <v>271</v>
      </c>
      <c r="H26" s="255" t="s">
        <v>272</v>
      </c>
      <c r="I26" s="255" t="s">
        <v>273</v>
      </c>
      <c r="J26" s="255" t="s">
        <v>200</v>
      </c>
      <c r="K26" s="256" t="s">
        <v>274</v>
      </c>
      <c r="L26" s="257" t="s">
        <v>275</v>
      </c>
      <c r="M26" s="258" t="s">
        <v>276</v>
      </c>
      <c r="N26" s="255" t="s">
        <v>277</v>
      </c>
      <c r="O26" s="256" t="s">
        <v>278</v>
      </c>
      <c r="P26" s="257" t="s">
        <v>279</v>
      </c>
      <c r="Q26" s="258" t="s">
        <v>280</v>
      </c>
      <c r="R26" s="255" t="s">
        <v>281</v>
      </c>
      <c r="S26" s="256" t="s">
        <v>282</v>
      </c>
      <c r="T26" s="257" t="s">
        <v>283</v>
      </c>
      <c r="U26" s="258" t="s">
        <v>284</v>
      </c>
      <c r="V26" s="255" t="s">
        <v>285</v>
      </c>
      <c r="W26" s="256" t="s">
        <v>286</v>
      </c>
      <c r="X26" s="257" t="s">
        <v>287</v>
      </c>
      <c r="Y26" s="258" t="s">
        <v>288</v>
      </c>
      <c r="Z26" s="255" t="s">
        <v>289</v>
      </c>
      <c r="AA26" s="256" t="s">
        <v>290</v>
      </c>
      <c r="AB26" s="257" t="s">
        <v>291</v>
      </c>
      <c r="AC26" s="256" t="s">
        <v>292</v>
      </c>
      <c r="AD26" s="257" t="s">
        <v>293</v>
      </c>
      <c r="AE26" s="256" t="s">
        <v>294</v>
      </c>
      <c r="AF26" s="257" t="s">
        <v>295</v>
      </c>
      <c r="AG26" s="256" t="s">
        <v>296</v>
      </c>
      <c r="AH26" s="257" t="s">
        <v>297</v>
      </c>
      <c r="AI26" s="259" t="s">
        <v>202</v>
      </c>
      <c r="AJ26" s="260"/>
    </row>
    <row r="27" spans="1:36" ht="15.75" customHeight="1">
      <c r="A27" s="261">
        <f t="shared" ref="A27:A34" si="0">(B27-C27)*12</f>
        <v>9</v>
      </c>
      <c r="B27" s="262">
        <v>0.75</v>
      </c>
      <c r="C27" s="263">
        <f>'Work History'!H9</f>
        <v>0</v>
      </c>
      <c r="D27" s="264" t="s">
        <v>298</v>
      </c>
      <c r="E27" s="264" t="s">
        <v>87</v>
      </c>
      <c r="F27" s="262" t="s">
        <v>93</v>
      </c>
      <c r="G27" s="265">
        <f>Controls!$G$20</f>
        <v>0.125</v>
      </c>
      <c r="H27" s="266">
        <v>1</v>
      </c>
      <c r="I27" s="262">
        <v>1</v>
      </c>
      <c r="J27" s="263"/>
      <c r="K27" s="267" t="s">
        <v>299</v>
      </c>
      <c r="L27" s="268">
        <f>($C$14*$B$19)</f>
        <v>164.56825000000001</v>
      </c>
      <c r="M27" s="269" t="s">
        <v>299</v>
      </c>
      <c r="N27" s="268">
        <f>($C$14*$B$19)</f>
        <v>164.56825000000001</v>
      </c>
      <c r="O27" s="269" t="s">
        <v>299</v>
      </c>
      <c r="P27" s="268">
        <f>($C$14*$B$19)</f>
        <v>164.56825000000001</v>
      </c>
      <c r="Q27" s="269" t="s">
        <v>299</v>
      </c>
      <c r="R27" s="268">
        <f>($C$14*$B$19)</f>
        <v>164.56825000000001</v>
      </c>
      <c r="S27" s="269" t="s">
        <v>299</v>
      </c>
      <c r="T27" s="268">
        <f>($C$14*$B$19)</f>
        <v>164.56825000000001</v>
      </c>
      <c r="U27" s="269" t="s">
        <v>299</v>
      </c>
      <c r="V27" s="268">
        <f>($C$14*$B$19)</f>
        <v>164.56825000000001</v>
      </c>
      <c r="W27" s="269" t="s">
        <v>299</v>
      </c>
      <c r="X27" s="268">
        <f>($C$14*$B$19)</f>
        <v>164.56825000000001</v>
      </c>
      <c r="Y27" s="269" t="s">
        <v>299</v>
      </c>
      <c r="Z27" s="268">
        <f>($C$14*$B$19)</f>
        <v>164.56825000000001</v>
      </c>
      <c r="AA27" s="269" t="s">
        <v>299</v>
      </c>
      <c r="AB27" s="268">
        <f>($C$14*$B$19)</f>
        <v>164.56825000000001</v>
      </c>
      <c r="AC27" s="269" t="s">
        <v>299</v>
      </c>
      <c r="AD27" s="268">
        <f>($C$14*$B$19)</f>
        <v>164.56825000000001</v>
      </c>
      <c r="AE27" s="269" t="s">
        <v>299</v>
      </c>
      <c r="AF27" s="268">
        <f>($C$14*$B$19)</f>
        <v>164.56825000000001</v>
      </c>
      <c r="AG27" s="269" t="s">
        <v>299</v>
      </c>
      <c r="AH27" s="268">
        <f>($C$14*$B$19)</f>
        <v>164.56825000000001</v>
      </c>
      <c r="AI27" s="270"/>
    </row>
    <row r="28" spans="1:36" ht="15.75" customHeight="1">
      <c r="A28" s="261">
        <f t="shared" si="0"/>
        <v>9</v>
      </c>
      <c r="B28" s="262">
        <v>0.75</v>
      </c>
      <c r="C28" s="263">
        <f>'Work History'!H8</f>
        <v>0</v>
      </c>
      <c r="D28" s="264" t="s">
        <v>300</v>
      </c>
      <c r="E28" s="264" t="s">
        <v>87</v>
      </c>
      <c r="F28" s="262" t="s">
        <v>93</v>
      </c>
      <c r="G28" s="265">
        <f>Controls!$G$20</f>
        <v>0.125</v>
      </c>
      <c r="H28" s="266">
        <v>1</v>
      </c>
      <c r="I28" s="266">
        <f>Controls!D29</f>
        <v>0.5</v>
      </c>
      <c r="J28" s="263"/>
      <c r="K28" s="267" t="s">
        <v>299</v>
      </c>
      <c r="L28" s="268">
        <f>($C$14*$B$19)*$I$28</f>
        <v>82.284125000000003</v>
      </c>
      <c r="M28" s="269" t="s">
        <v>299</v>
      </c>
      <c r="N28" s="268">
        <f>($C$14*$B$19)*$I$28</f>
        <v>82.284125000000003</v>
      </c>
      <c r="O28" s="269" t="s">
        <v>299</v>
      </c>
      <c r="P28" s="268">
        <f>($C$14*$B$19)*$I$28</f>
        <v>82.284125000000003</v>
      </c>
      <c r="Q28" s="269" t="s">
        <v>299</v>
      </c>
      <c r="R28" s="268">
        <f>($C$14*$B$19)*$I$28</f>
        <v>82.284125000000003</v>
      </c>
      <c r="S28" s="269" t="s">
        <v>299</v>
      </c>
      <c r="T28" s="268">
        <f>($C$14*$B$19)*$I$28</f>
        <v>82.284125000000003</v>
      </c>
      <c r="U28" s="269" t="s">
        <v>299</v>
      </c>
      <c r="V28" s="268">
        <f>($C$14*$B$19)*$I$28</f>
        <v>82.284125000000003</v>
      </c>
      <c r="W28" s="269" t="s">
        <v>299</v>
      </c>
      <c r="X28" s="268">
        <f>($C$14*$B$19)*$I$28</f>
        <v>82.284125000000003</v>
      </c>
      <c r="Y28" s="269" t="s">
        <v>299</v>
      </c>
      <c r="Z28" s="268">
        <f>($C$14*$B$19)*$I$28</f>
        <v>82.284125000000003</v>
      </c>
      <c r="AA28" s="269" t="s">
        <v>299</v>
      </c>
      <c r="AB28" s="268">
        <f>($C$14*$B$19)*$I$28</f>
        <v>82.284125000000003</v>
      </c>
      <c r="AC28" s="269" t="s">
        <v>299</v>
      </c>
      <c r="AD28" s="268">
        <f>($C$14*$B$19)*$I$28</f>
        <v>82.284125000000003</v>
      </c>
      <c r="AE28" s="269" t="s">
        <v>299</v>
      </c>
      <c r="AF28" s="268">
        <f>($C$14*$B$19)*$I$28</f>
        <v>82.284125000000003</v>
      </c>
      <c r="AG28" s="269" t="s">
        <v>299</v>
      </c>
      <c r="AH28" s="268">
        <f>($C$14*$B$19)*$I$28</f>
        <v>82.284125000000003</v>
      </c>
      <c r="AI28" s="270"/>
    </row>
    <row r="29" spans="1:36" ht="15.75" customHeight="1">
      <c r="A29" s="261">
        <f t="shared" si="0"/>
        <v>9</v>
      </c>
      <c r="B29" s="262">
        <v>0.75</v>
      </c>
      <c r="C29" s="263">
        <f>'Work History'!H12</f>
        <v>0</v>
      </c>
      <c r="D29" s="264" t="s">
        <v>128</v>
      </c>
      <c r="E29" s="264" t="s">
        <v>87</v>
      </c>
      <c r="F29" s="262" t="s">
        <v>93</v>
      </c>
      <c r="G29" s="265">
        <f>Controls!$G$20</f>
        <v>0.125</v>
      </c>
      <c r="H29" s="266">
        <v>1</v>
      </c>
      <c r="I29" s="262">
        <v>1</v>
      </c>
      <c r="J29" s="263"/>
      <c r="K29" s="267" t="s">
        <v>299</v>
      </c>
      <c r="L29" s="268">
        <f>($C$14*$B$19)</f>
        <v>164.56825000000001</v>
      </c>
      <c r="M29" s="269" t="s">
        <v>299</v>
      </c>
      <c r="N29" s="268">
        <f>($C$14*$B$19)</f>
        <v>164.56825000000001</v>
      </c>
      <c r="O29" s="269" t="s">
        <v>299</v>
      </c>
      <c r="P29" s="268">
        <f>($C$14*$B$19)</f>
        <v>164.56825000000001</v>
      </c>
      <c r="Q29" s="269" t="s">
        <v>299</v>
      </c>
      <c r="R29" s="268">
        <f>($C$14*$B$19)</f>
        <v>164.56825000000001</v>
      </c>
      <c r="S29" s="269" t="s">
        <v>299</v>
      </c>
      <c r="T29" s="268">
        <f>($C$14*$B$19)</f>
        <v>164.56825000000001</v>
      </c>
      <c r="U29" s="269" t="s">
        <v>299</v>
      </c>
      <c r="V29" s="268">
        <f>($C$14*$B$19)</f>
        <v>164.56825000000001</v>
      </c>
      <c r="W29" s="269" t="s">
        <v>299</v>
      </c>
      <c r="X29" s="268">
        <f>($C$14*$B$19)</f>
        <v>164.56825000000001</v>
      </c>
      <c r="Y29" s="269" t="s">
        <v>299</v>
      </c>
      <c r="Z29" s="268">
        <f>($C$14*$B$19)</f>
        <v>164.56825000000001</v>
      </c>
      <c r="AA29" s="269" t="s">
        <v>299</v>
      </c>
      <c r="AB29" s="268">
        <f>($C$14*$B$19)</f>
        <v>164.56825000000001</v>
      </c>
      <c r="AC29" s="269" t="s">
        <v>299</v>
      </c>
      <c r="AD29" s="268">
        <f>($C$14*$B$19)</f>
        <v>164.56825000000001</v>
      </c>
      <c r="AE29" s="269" t="s">
        <v>299</v>
      </c>
      <c r="AF29" s="268">
        <f>($C$14*$B$19)</f>
        <v>164.56825000000001</v>
      </c>
      <c r="AG29" s="269" t="s">
        <v>299</v>
      </c>
      <c r="AH29" s="268">
        <f>($C$14*$B$19)</f>
        <v>164.56825000000001</v>
      </c>
      <c r="AI29" s="270"/>
    </row>
    <row r="30" spans="1:36" ht="15.75" customHeight="1">
      <c r="A30" s="261">
        <f t="shared" si="0"/>
        <v>9</v>
      </c>
      <c r="B30" s="262">
        <v>0.75</v>
      </c>
      <c r="C30" s="263">
        <f>'Work History'!H5</f>
        <v>0</v>
      </c>
      <c r="D30" s="264" t="s">
        <v>129</v>
      </c>
      <c r="E30" s="264" t="s">
        <v>87</v>
      </c>
      <c r="F30" s="262" t="s">
        <v>301</v>
      </c>
      <c r="G30" s="265">
        <f>Controls!$G$20</f>
        <v>0.125</v>
      </c>
      <c r="H30" s="266">
        <v>0.7</v>
      </c>
      <c r="I30" s="262">
        <v>1</v>
      </c>
      <c r="J30" s="263"/>
      <c r="K30" s="267" t="s">
        <v>299</v>
      </c>
      <c r="L30" s="268">
        <f>(($C$14*$B$19)*TEAMGROWTH!$H30)*TEAMGROWTH!$I30</f>
        <v>115.19777499999999</v>
      </c>
      <c r="M30" s="269" t="s">
        <v>299</v>
      </c>
      <c r="N30" s="268">
        <f>L30*1.25</f>
        <v>143.99721875</v>
      </c>
      <c r="O30" s="269" t="s">
        <v>299</v>
      </c>
      <c r="P30" s="268">
        <f>($C$14*$B$19)</f>
        <v>164.56825000000001</v>
      </c>
      <c r="Q30" s="269" t="s">
        <v>299</v>
      </c>
      <c r="R30" s="268">
        <f>P30</f>
        <v>164.56825000000001</v>
      </c>
      <c r="S30" s="269" t="s">
        <v>299</v>
      </c>
      <c r="T30" s="268">
        <f>P30</f>
        <v>164.56825000000001</v>
      </c>
      <c r="U30" s="269" t="s">
        <v>299</v>
      </c>
      <c r="V30" s="268">
        <f>T30</f>
        <v>164.56825000000001</v>
      </c>
      <c r="W30" s="269" t="s">
        <v>299</v>
      </c>
      <c r="X30" s="268">
        <f>V30</f>
        <v>164.56825000000001</v>
      </c>
      <c r="Y30" s="269" t="s">
        <v>299</v>
      </c>
      <c r="Z30" s="268">
        <f>X30</f>
        <v>164.56825000000001</v>
      </c>
      <c r="AA30" s="269" t="s">
        <v>299</v>
      </c>
      <c r="AB30" s="268">
        <f>Z30</f>
        <v>164.56825000000001</v>
      </c>
      <c r="AC30" s="269" t="s">
        <v>299</v>
      </c>
      <c r="AD30" s="268">
        <f>AB30</f>
        <v>164.56825000000001</v>
      </c>
      <c r="AE30" s="269" t="s">
        <v>299</v>
      </c>
      <c r="AF30" s="268">
        <f>AD30</f>
        <v>164.56825000000001</v>
      </c>
      <c r="AG30" s="269" t="s">
        <v>299</v>
      </c>
      <c r="AH30" s="268">
        <f>AF30</f>
        <v>164.56825000000001</v>
      </c>
      <c r="AI30" s="270"/>
    </row>
    <row r="31" spans="1:36" ht="15.75" customHeight="1">
      <c r="A31" s="261">
        <f t="shared" si="0"/>
        <v>9</v>
      </c>
      <c r="B31" s="262">
        <v>0.75</v>
      </c>
      <c r="C31" s="263">
        <f>'Work History'!H7</f>
        <v>0</v>
      </c>
      <c r="D31" s="264" t="s">
        <v>130</v>
      </c>
      <c r="E31" s="264" t="s">
        <v>87</v>
      </c>
      <c r="F31" s="262" t="s">
        <v>302</v>
      </c>
      <c r="G31" s="265">
        <f>Controls!$G$20</f>
        <v>0.125</v>
      </c>
      <c r="H31" s="266">
        <v>0.7</v>
      </c>
      <c r="I31" s="262">
        <v>1</v>
      </c>
      <c r="J31" s="263"/>
      <c r="K31" s="267" t="s">
        <v>299</v>
      </c>
      <c r="L31" s="268">
        <f>(($C$14*$B$19)*TEAMGROWTH!$H31)*TEAMGROWTH!$I31</f>
        <v>115.19777499999999</v>
      </c>
      <c r="M31" s="269" t="s">
        <v>299</v>
      </c>
      <c r="N31" s="268">
        <f>L31*1.25</f>
        <v>143.99721875</v>
      </c>
      <c r="O31" s="269" t="s">
        <v>299</v>
      </c>
      <c r="P31" s="268">
        <f>($C$14*$B$19)</f>
        <v>164.56825000000001</v>
      </c>
      <c r="Q31" s="269" t="s">
        <v>299</v>
      </c>
      <c r="R31" s="268">
        <f>P31</f>
        <v>164.56825000000001</v>
      </c>
      <c r="S31" s="269" t="s">
        <v>299</v>
      </c>
      <c r="T31" s="268">
        <f>R31</f>
        <v>164.56825000000001</v>
      </c>
      <c r="U31" s="269" t="s">
        <v>299</v>
      </c>
      <c r="V31" s="268">
        <f>T31</f>
        <v>164.56825000000001</v>
      </c>
      <c r="W31" s="269" t="s">
        <v>299</v>
      </c>
      <c r="X31" s="268">
        <f>V31</f>
        <v>164.56825000000001</v>
      </c>
      <c r="Y31" s="269" t="s">
        <v>299</v>
      </c>
      <c r="Z31" s="268">
        <f>X31</f>
        <v>164.56825000000001</v>
      </c>
      <c r="AA31" s="269" t="s">
        <v>299</v>
      </c>
      <c r="AB31" s="268">
        <f>Z31</f>
        <v>164.56825000000001</v>
      </c>
      <c r="AC31" s="269" t="s">
        <v>299</v>
      </c>
      <c r="AD31" s="268">
        <f>AB31</f>
        <v>164.56825000000001</v>
      </c>
      <c r="AE31" s="269" t="s">
        <v>299</v>
      </c>
      <c r="AF31" s="268">
        <f>AD31</f>
        <v>164.56825000000001</v>
      </c>
      <c r="AG31" s="269" t="s">
        <v>299</v>
      </c>
      <c r="AH31" s="268">
        <f>AF31</f>
        <v>164.56825000000001</v>
      </c>
      <c r="AI31" s="270"/>
    </row>
    <row r="32" spans="1:36" ht="15.75" customHeight="1">
      <c r="A32" s="261">
        <f t="shared" si="0"/>
        <v>9</v>
      </c>
      <c r="B32" s="262">
        <v>0.75</v>
      </c>
      <c r="C32" s="263">
        <f>'Work History'!H10</f>
        <v>0</v>
      </c>
      <c r="D32" s="264" t="s">
        <v>131</v>
      </c>
      <c r="E32" s="264" t="s">
        <v>303</v>
      </c>
      <c r="F32" s="262" t="s">
        <v>302</v>
      </c>
      <c r="G32" s="265">
        <f>Controls!$G$20</f>
        <v>0.125</v>
      </c>
      <c r="H32" s="266">
        <v>0.7</v>
      </c>
      <c r="I32" s="262">
        <v>1</v>
      </c>
      <c r="J32" s="263"/>
      <c r="K32" s="267" t="s">
        <v>299</v>
      </c>
      <c r="L32" s="268">
        <f>($C$14*$B$19)*TEAMGROWTH!$I$32*$H$32</f>
        <v>115.19777499999999</v>
      </c>
      <c r="M32" s="269" t="s">
        <v>299</v>
      </c>
      <c r="N32" s="268">
        <f>L32*1.25</f>
        <v>143.99721875</v>
      </c>
      <c r="O32" s="269" t="s">
        <v>299</v>
      </c>
      <c r="P32" s="268">
        <f>($C$14*$B$19)</f>
        <v>164.56825000000001</v>
      </c>
      <c r="Q32" s="269" t="s">
        <v>299</v>
      </c>
      <c r="R32" s="268">
        <f>P32</f>
        <v>164.56825000000001</v>
      </c>
      <c r="S32" s="269" t="s">
        <v>299</v>
      </c>
      <c r="T32" s="268">
        <f>R32</f>
        <v>164.56825000000001</v>
      </c>
      <c r="U32" s="269" t="s">
        <v>299</v>
      </c>
      <c r="V32" s="268">
        <f>T32</f>
        <v>164.56825000000001</v>
      </c>
      <c r="W32" s="269" t="s">
        <v>299</v>
      </c>
      <c r="X32" s="268">
        <f>V32</f>
        <v>164.56825000000001</v>
      </c>
      <c r="Y32" s="269" t="s">
        <v>299</v>
      </c>
      <c r="Z32" s="268">
        <f>X32</f>
        <v>164.56825000000001</v>
      </c>
      <c r="AA32" s="269" t="s">
        <v>299</v>
      </c>
      <c r="AB32" s="268">
        <f>Z32</f>
        <v>164.56825000000001</v>
      </c>
      <c r="AC32" s="269" t="s">
        <v>299</v>
      </c>
      <c r="AD32" s="268">
        <f>AB32</f>
        <v>164.56825000000001</v>
      </c>
      <c r="AE32" s="269" t="s">
        <v>299</v>
      </c>
      <c r="AF32" s="268">
        <f>AD32</f>
        <v>164.56825000000001</v>
      </c>
      <c r="AG32" s="269" t="s">
        <v>299</v>
      </c>
      <c r="AH32" s="268">
        <f>AF32</f>
        <v>164.56825000000001</v>
      </c>
      <c r="AI32" s="270"/>
    </row>
    <row r="33" spans="1:36" ht="15.75" customHeight="1">
      <c r="A33" s="261">
        <f t="shared" si="0"/>
        <v>9</v>
      </c>
      <c r="B33" s="262">
        <v>0.75</v>
      </c>
      <c r="C33" s="263">
        <f>'Work History'!H6</f>
        <v>0</v>
      </c>
      <c r="D33" s="264" t="s">
        <v>132</v>
      </c>
      <c r="E33" s="264" t="s">
        <v>303</v>
      </c>
      <c r="F33" s="262" t="s">
        <v>302</v>
      </c>
      <c r="G33" s="265">
        <f>Controls!$G$20</f>
        <v>0.125</v>
      </c>
      <c r="H33" s="266">
        <v>0.6</v>
      </c>
      <c r="I33" s="262">
        <v>1</v>
      </c>
      <c r="J33" s="263"/>
      <c r="K33" s="267" t="s">
        <v>299</v>
      </c>
      <c r="L33" s="268">
        <f>($C$14*$B$19)*TEAMGROWTH!$I33*H33</f>
        <v>98.740949999999998</v>
      </c>
      <c r="M33" s="269" t="s">
        <v>299</v>
      </c>
      <c r="N33" s="268">
        <f>($C$14*$B$19)*TEAMGROWTH!$I$32*$H$32</f>
        <v>115.19777499999999</v>
      </c>
      <c r="O33" s="269" t="s">
        <v>299</v>
      </c>
      <c r="P33" s="268">
        <f>N33*1.25</f>
        <v>143.99721875</v>
      </c>
      <c r="Q33" s="269" t="s">
        <v>299</v>
      </c>
      <c r="R33" s="268">
        <f>($C$14*$B$19)</f>
        <v>164.56825000000001</v>
      </c>
      <c r="S33" s="269" t="s">
        <v>299</v>
      </c>
      <c r="T33" s="268">
        <f>R33</f>
        <v>164.56825000000001</v>
      </c>
      <c r="U33" s="269" t="s">
        <v>299</v>
      </c>
      <c r="V33" s="268">
        <f>T33</f>
        <v>164.56825000000001</v>
      </c>
      <c r="W33" s="269" t="s">
        <v>299</v>
      </c>
      <c r="X33" s="268">
        <f>V33</f>
        <v>164.56825000000001</v>
      </c>
      <c r="Y33" s="269" t="s">
        <v>299</v>
      </c>
      <c r="Z33" s="268">
        <f>X33</f>
        <v>164.56825000000001</v>
      </c>
      <c r="AA33" s="269" t="s">
        <v>299</v>
      </c>
      <c r="AB33" s="268">
        <f>Z33</f>
        <v>164.56825000000001</v>
      </c>
      <c r="AC33" s="269" t="s">
        <v>299</v>
      </c>
      <c r="AD33" s="268">
        <f>AB33</f>
        <v>164.56825000000001</v>
      </c>
      <c r="AE33" s="269" t="s">
        <v>299</v>
      </c>
      <c r="AF33" s="268">
        <f>AD33</f>
        <v>164.56825000000001</v>
      </c>
      <c r="AG33" s="269" t="s">
        <v>299</v>
      </c>
      <c r="AH33" s="268">
        <f>AF33</f>
        <v>164.56825000000001</v>
      </c>
      <c r="AI33" s="270"/>
    </row>
    <row r="34" spans="1:36" ht="15.75" customHeight="1">
      <c r="A34" s="261">
        <f t="shared" si="0"/>
        <v>9.9599999999999991</v>
      </c>
      <c r="B34" s="262">
        <v>0.83</v>
      </c>
      <c r="C34" s="263">
        <f>'Work History'!H11</f>
        <v>0</v>
      </c>
      <c r="D34" s="264" t="s">
        <v>133</v>
      </c>
      <c r="E34" s="264" t="s">
        <v>87</v>
      </c>
      <c r="F34" s="262" t="s">
        <v>93</v>
      </c>
      <c r="G34" s="265">
        <f>Controls!$G$20</f>
        <v>0.125</v>
      </c>
      <c r="H34" s="266">
        <v>0.3</v>
      </c>
      <c r="I34" s="262">
        <v>1</v>
      </c>
      <c r="J34" s="263"/>
      <c r="K34" s="267" t="s">
        <v>299</v>
      </c>
      <c r="L34" s="268">
        <f>($C$14*$B$19)*H34</f>
        <v>49.370474999999999</v>
      </c>
      <c r="M34" s="269" t="s">
        <v>299</v>
      </c>
      <c r="N34" s="268">
        <f>L34</f>
        <v>49.370474999999999</v>
      </c>
      <c r="O34" s="269" t="s">
        <v>299</v>
      </c>
      <c r="P34" s="268">
        <f>N34</f>
        <v>49.370474999999999</v>
      </c>
      <c r="Q34" s="269" t="s">
        <v>299</v>
      </c>
      <c r="R34" s="268">
        <f>P34</f>
        <v>49.370474999999999</v>
      </c>
      <c r="S34" s="269" t="s">
        <v>299</v>
      </c>
      <c r="T34" s="268">
        <f>R34</f>
        <v>49.370474999999999</v>
      </c>
      <c r="U34" s="269" t="s">
        <v>299</v>
      </c>
      <c r="V34" s="268">
        <f>T34</f>
        <v>49.370474999999999</v>
      </c>
      <c r="W34" s="269" t="s">
        <v>299</v>
      </c>
      <c r="X34" s="268">
        <f>V34</f>
        <v>49.370474999999999</v>
      </c>
      <c r="Y34" s="269" t="s">
        <v>299</v>
      </c>
      <c r="Z34" s="268">
        <f>X34</f>
        <v>49.370474999999999</v>
      </c>
      <c r="AA34" s="269" t="s">
        <v>299</v>
      </c>
      <c r="AB34" s="268">
        <f>Z34</f>
        <v>49.370474999999999</v>
      </c>
      <c r="AC34" s="269" t="s">
        <v>299</v>
      </c>
      <c r="AD34" s="268">
        <f>AB34</f>
        <v>49.370474999999999</v>
      </c>
      <c r="AE34" s="269" t="s">
        <v>299</v>
      </c>
      <c r="AF34" s="268">
        <f>AB34</f>
        <v>49.370474999999999</v>
      </c>
      <c r="AG34" s="269" t="s">
        <v>299</v>
      </c>
      <c r="AH34" s="268">
        <f>AF34</f>
        <v>49.370474999999999</v>
      </c>
      <c r="AI34" s="270"/>
    </row>
    <row r="35" spans="1:36" ht="15.75" customHeight="1">
      <c r="A35" s="271"/>
      <c r="B35" s="262"/>
      <c r="C35" s="263"/>
      <c r="D35" s="262"/>
      <c r="E35" s="262"/>
      <c r="F35" s="262"/>
      <c r="G35" s="262"/>
      <c r="H35" s="262"/>
      <c r="I35" s="262"/>
      <c r="J35" s="262"/>
      <c r="K35" s="272"/>
      <c r="L35" s="262"/>
      <c r="M35" s="272"/>
      <c r="N35" s="262"/>
      <c r="O35" s="272"/>
      <c r="P35" s="262"/>
      <c r="Q35" s="272"/>
      <c r="R35" s="262"/>
      <c r="S35" s="272"/>
      <c r="T35" s="262"/>
      <c r="U35" s="272"/>
      <c r="V35" s="262"/>
      <c r="W35" s="272"/>
      <c r="X35" s="262"/>
      <c r="Y35" s="272"/>
      <c r="Z35" s="262"/>
      <c r="AA35" s="272"/>
      <c r="AB35" s="262"/>
      <c r="AC35" s="272"/>
      <c r="AD35" s="262"/>
      <c r="AE35" s="272"/>
      <c r="AF35" s="262"/>
      <c r="AG35" s="272"/>
      <c r="AH35" s="262"/>
      <c r="AI35" s="270"/>
    </row>
    <row r="36" spans="1:36" ht="15.75" customHeight="1">
      <c r="A36" s="273"/>
      <c r="B36" s="274"/>
      <c r="C36" s="275"/>
      <c r="D36" s="274"/>
      <c r="E36" s="274"/>
      <c r="F36" s="274"/>
      <c r="G36" s="274"/>
      <c r="H36" s="274"/>
      <c r="I36" s="274"/>
      <c r="J36" s="274" t="s">
        <v>299</v>
      </c>
      <c r="K36" s="276">
        <f>COUNTIF(K27:K34,"Avg")</f>
        <v>8</v>
      </c>
      <c r="L36" s="274" t="s">
        <v>299</v>
      </c>
      <c r="M36" s="276">
        <f>COUNTIF(M27:M34,"Avg")</f>
        <v>8</v>
      </c>
      <c r="N36" s="274" t="s">
        <v>299</v>
      </c>
      <c r="O36" s="276">
        <f>COUNTIF(O27:O34,"Avg")</f>
        <v>8</v>
      </c>
      <c r="P36" s="274" t="s">
        <v>299</v>
      </c>
      <c r="Q36" s="276">
        <f>COUNTIF(Q27:Q34,"Avg")</f>
        <v>8</v>
      </c>
      <c r="R36" s="274" t="s">
        <v>299</v>
      </c>
      <c r="S36" s="276">
        <f>COUNTIF(S27:S34,"Avg")</f>
        <v>8</v>
      </c>
      <c r="T36" s="274" t="s">
        <v>299</v>
      </c>
      <c r="U36" s="276">
        <f>COUNTIF(U27:U34,"Avg")</f>
        <v>8</v>
      </c>
      <c r="V36" s="274" t="s">
        <v>299</v>
      </c>
      <c r="W36" s="276">
        <f>COUNTIF(W27:W34,"Avg")</f>
        <v>8</v>
      </c>
      <c r="X36" s="274" t="s">
        <v>299</v>
      </c>
      <c r="Y36" s="276">
        <f>COUNTIF(Y27:Y34,"Avg")</f>
        <v>8</v>
      </c>
      <c r="Z36" s="274" t="s">
        <v>299</v>
      </c>
      <c r="AA36" s="276">
        <f>COUNTIF(AA27:AA34,"Avg")</f>
        <v>8</v>
      </c>
      <c r="AB36" s="274" t="s">
        <v>299</v>
      </c>
      <c r="AC36" s="276">
        <f>COUNTIF(AC27:AC34,"Avg")</f>
        <v>8</v>
      </c>
      <c r="AD36" s="274" t="s">
        <v>299</v>
      </c>
      <c r="AE36" s="276">
        <f>COUNTIF(AE27:AE34,"Avg")</f>
        <v>8</v>
      </c>
      <c r="AF36" s="274" t="s">
        <v>299</v>
      </c>
      <c r="AG36" s="276">
        <f>COUNTIF(AG27:AG34,"Avg")</f>
        <v>8</v>
      </c>
      <c r="AH36" s="274"/>
      <c r="AI36" s="277"/>
      <c r="AJ36" s="6"/>
    </row>
    <row r="37" spans="1:36" ht="15.75" customHeight="1">
      <c r="A37" s="278"/>
      <c r="B37" s="279"/>
      <c r="C37" s="280"/>
      <c r="D37" s="279"/>
      <c r="E37" s="279"/>
      <c r="F37" s="279"/>
      <c r="G37" s="279"/>
      <c r="H37" s="279"/>
      <c r="I37" s="279"/>
      <c r="J37" s="279" t="s">
        <v>89</v>
      </c>
      <c r="K37" s="281">
        <f>COUNTIF(K27:K34,"low")</f>
        <v>0</v>
      </c>
      <c r="L37" s="279" t="s">
        <v>89</v>
      </c>
      <c r="M37" s="281">
        <f>COUNTIF(M27:M34,"low")</f>
        <v>0</v>
      </c>
      <c r="N37" s="279" t="s">
        <v>89</v>
      </c>
      <c r="O37" s="281">
        <f>COUNTIF(O27:O34,"low")</f>
        <v>0</v>
      </c>
      <c r="P37" s="279" t="s">
        <v>89</v>
      </c>
      <c r="Q37" s="281">
        <f>COUNTIF(Q27:Q34,"low")</f>
        <v>0</v>
      </c>
      <c r="R37" s="279" t="s">
        <v>89</v>
      </c>
      <c r="S37" s="281">
        <f>COUNTIF(S27:S34,"low")</f>
        <v>0</v>
      </c>
      <c r="T37" s="279" t="s">
        <v>89</v>
      </c>
      <c r="U37" s="281">
        <f>COUNTIF(U27:U34,"low")</f>
        <v>0</v>
      </c>
      <c r="V37" s="279" t="s">
        <v>89</v>
      </c>
      <c r="W37" s="281">
        <f>COUNTIF(W27:W34,"low")</f>
        <v>0</v>
      </c>
      <c r="X37" s="279" t="s">
        <v>89</v>
      </c>
      <c r="Y37" s="281">
        <f>COUNTIF(Y27:Y34,"low")</f>
        <v>0</v>
      </c>
      <c r="Z37" s="279" t="s">
        <v>89</v>
      </c>
      <c r="AA37" s="281">
        <f>COUNTIF(AA27:AA34,"low")</f>
        <v>0</v>
      </c>
      <c r="AB37" s="279" t="s">
        <v>89</v>
      </c>
      <c r="AC37" s="281">
        <f>COUNTIF(AC27:AC34,"low")</f>
        <v>0</v>
      </c>
      <c r="AD37" s="279" t="s">
        <v>89</v>
      </c>
      <c r="AE37" s="281">
        <f>COUNTIF(AE27:AE34,"low")</f>
        <v>0</v>
      </c>
      <c r="AF37" s="279" t="s">
        <v>89</v>
      </c>
      <c r="AG37" s="281">
        <f>COUNTIF(AG27:AG34,"low")</f>
        <v>0</v>
      </c>
      <c r="AH37" s="279"/>
      <c r="AI37" s="282"/>
      <c r="AJ37" s="6"/>
    </row>
    <row r="38" spans="1:36" ht="15.75" customHeight="1">
      <c r="A38" s="283"/>
      <c r="B38" s="284"/>
      <c r="C38" s="285"/>
      <c r="D38" s="284"/>
      <c r="E38" s="284"/>
      <c r="F38" s="284"/>
      <c r="G38" s="284"/>
      <c r="H38" s="284"/>
      <c r="I38" s="284"/>
      <c r="J38" s="284"/>
      <c r="K38" s="286">
        <f>K37/(K36+K37)</f>
        <v>0</v>
      </c>
      <c r="L38" s="285">
        <f>((SUM(L27:L34)*K38))*($E$4)*-1</f>
        <v>0</v>
      </c>
      <c r="M38" s="286">
        <f>M37/(M36+M37)</f>
        <v>0</v>
      </c>
      <c r="N38" s="285">
        <f>((SUM(N27:N34)*M38))*($E$4)*-1</f>
        <v>0</v>
      </c>
      <c r="O38" s="286">
        <f>O37/(O36+O37)</f>
        <v>0</v>
      </c>
      <c r="P38" s="285">
        <f>((SUM(P27:P34)*O38))*($E$4)*-1</f>
        <v>0</v>
      </c>
      <c r="Q38" s="286">
        <f>Q37/(Q36+Q37)</f>
        <v>0</v>
      </c>
      <c r="R38" s="285">
        <f>((SUM(R27:R34)*Q38))*($E$4)*-1</f>
        <v>0</v>
      </c>
      <c r="S38" s="286">
        <f>S37/(S36+S37)</f>
        <v>0</v>
      </c>
      <c r="T38" s="285">
        <f>((SUM(T27:T34)*S38))*($E$4)*-1</f>
        <v>0</v>
      </c>
      <c r="U38" s="286">
        <f>U37/(U36+U37)</f>
        <v>0</v>
      </c>
      <c r="V38" s="285">
        <f>((SUM(V27:V34)*U38))*($E$4)*-1</f>
        <v>0</v>
      </c>
      <c r="W38" s="286">
        <f>W37/(W36+W37)</f>
        <v>0</v>
      </c>
      <c r="X38" s="285">
        <f>((SUM(X27:X34)*W38))*($E$4)*-1</f>
        <v>0</v>
      </c>
      <c r="Y38" s="286">
        <f>Y37/(Y36+Y37)</f>
        <v>0</v>
      </c>
      <c r="Z38" s="285">
        <f>((SUM(Z27:Z34)*Y38))*($E$4)*-1</f>
        <v>0</v>
      </c>
      <c r="AA38" s="286">
        <f>AA37/(AA36+AA37)</f>
        <v>0</v>
      </c>
      <c r="AB38" s="285">
        <f>((SUM(AB27:AB34)*AA38))*($E$4)*-1</f>
        <v>0</v>
      </c>
      <c r="AC38" s="286">
        <f>AC37/(AC36+AC37)</f>
        <v>0</v>
      </c>
      <c r="AD38" s="285">
        <f>((SUM(AD27:AD34)*AC38))*($E$4)*-1</f>
        <v>0</v>
      </c>
      <c r="AE38" s="286">
        <f>AE37/(AE36+AE37)</f>
        <v>0</v>
      </c>
      <c r="AF38" s="285">
        <f>((SUM(AF27:AF34)*AE38))*($E$4)*-1</f>
        <v>0</v>
      </c>
      <c r="AG38" s="286">
        <f>AG37/(AG36+AG37)</f>
        <v>0</v>
      </c>
      <c r="AH38" s="285">
        <f>((SUM(AH27:AH34)*AG38))*($E$4)*-1</f>
        <v>0</v>
      </c>
      <c r="AI38" s="287"/>
    </row>
    <row r="39" spans="1:36" ht="15.75" customHeight="1">
      <c r="A39" s="288"/>
      <c r="B39" s="289"/>
      <c r="C39" s="290"/>
      <c r="D39" s="289"/>
      <c r="E39" s="289"/>
      <c r="F39" s="289"/>
      <c r="G39" s="289"/>
      <c r="H39" s="289"/>
      <c r="I39" s="291" t="s">
        <v>115</v>
      </c>
      <c r="J39" s="291"/>
      <c r="K39" s="136"/>
      <c r="L39" s="292">
        <f>SUM(L27:L38)</f>
        <v>905.12537499999985</v>
      </c>
      <c r="M39" s="293"/>
      <c r="N39" s="292">
        <f>SUM(N27:N38)</f>
        <v>1007.98053125</v>
      </c>
      <c r="O39" s="293"/>
      <c r="P39" s="292">
        <f>SUM(P27:P38)</f>
        <v>1098.49306875</v>
      </c>
      <c r="Q39" s="293"/>
      <c r="R39" s="292">
        <f>SUM(R27:R38)</f>
        <v>1119.0641000000001</v>
      </c>
      <c r="S39" s="293"/>
      <c r="T39" s="292">
        <f>SUM(T27:T38)</f>
        <v>1119.0641000000001</v>
      </c>
      <c r="U39" s="293"/>
      <c r="V39" s="292">
        <f>SUM(V27:V38)</f>
        <v>1119.0641000000001</v>
      </c>
      <c r="W39" s="293"/>
      <c r="X39" s="292">
        <f>SUM(X27:X38)</f>
        <v>1119.0641000000001</v>
      </c>
      <c r="Y39" s="293"/>
      <c r="Z39" s="292">
        <f>SUM(Z27:Z38)</f>
        <v>1119.0641000000001</v>
      </c>
      <c r="AA39" s="293"/>
      <c r="AB39" s="292">
        <f>SUM(AB27:AB38)</f>
        <v>1119.0641000000001</v>
      </c>
      <c r="AC39" s="293"/>
      <c r="AD39" s="292">
        <f>SUM(AD27:AD38)</f>
        <v>1119.0641000000001</v>
      </c>
      <c r="AE39" s="293"/>
      <c r="AF39" s="292">
        <f>SUM(AF27:AF38)</f>
        <v>1119.0641000000001</v>
      </c>
      <c r="AG39" s="293"/>
      <c r="AH39" s="292">
        <f>SUM(AH27:AH38)</f>
        <v>1119.0641000000001</v>
      </c>
      <c r="AI39" s="294">
        <f>SUM(L39:AH39)</f>
        <v>13083.175874999997</v>
      </c>
    </row>
    <row r="40" spans="1:36" ht="15.75" customHeight="1">
      <c r="A40" s="283"/>
      <c r="B40" s="284"/>
      <c r="C40" s="285"/>
      <c r="D40" s="284"/>
      <c r="E40" s="284"/>
      <c r="F40" s="284"/>
      <c r="G40" s="284"/>
      <c r="H40" s="284"/>
      <c r="I40" s="295" t="s">
        <v>304</v>
      </c>
      <c r="J40" s="295"/>
      <c r="K40" s="296"/>
      <c r="L40" s="297">
        <f>$C$14*$B$19*$B$21</f>
        <v>1316.546</v>
      </c>
      <c r="M40" s="298"/>
      <c r="N40" s="297">
        <f>$C$14*$B$19*$B$21</f>
        <v>1316.546</v>
      </c>
      <c r="O40" s="298"/>
      <c r="P40" s="297">
        <f>$C$14*$B$19*$B$21</f>
        <v>1316.546</v>
      </c>
      <c r="Q40" s="298"/>
      <c r="R40" s="297">
        <f>$C$14*$B$19*$B$21</f>
        <v>1316.546</v>
      </c>
      <c r="S40" s="298"/>
      <c r="T40" s="297">
        <f>$C$14*$B$19*$B$21</f>
        <v>1316.546</v>
      </c>
      <c r="U40" s="298"/>
      <c r="V40" s="297">
        <f>$C$14*$B$19*$B$21</f>
        <v>1316.546</v>
      </c>
      <c r="W40" s="298"/>
      <c r="X40" s="297">
        <f>$C$14*$B$19*$B$21</f>
        <v>1316.546</v>
      </c>
      <c r="Y40" s="298"/>
      <c r="Z40" s="297">
        <f>$C$14*$B$19*$B$21</f>
        <v>1316.546</v>
      </c>
      <c r="AA40" s="298"/>
      <c r="AB40" s="297">
        <f>$C$14*$B$19*$B$21</f>
        <v>1316.546</v>
      </c>
      <c r="AC40" s="298"/>
      <c r="AD40" s="297">
        <f>$C$14*$B$19*$B$21</f>
        <v>1316.546</v>
      </c>
      <c r="AE40" s="298"/>
      <c r="AF40" s="297">
        <f>$C$14*$B$19*$B$21</f>
        <v>1316.546</v>
      </c>
      <c r="AG40" s="298"/>
      <c r="AH40" s="297">
        <f>$C$14*$B$19*$B$21</f>
        <v>1316.546</v>
      </c>
      <c r="AI40" s="299">
        <f>SUM(L40:AH40)</f>
        <v>15798.552000000001</v>
      </c>
    </row>
    <row r="41" spans="1:36" ht="15.75" customHeight="1">
      <c r="A41" s="288"/>
      <c r="B41" s="289"/>
      <c r="C41" s="290"/>
      <c r="D41" s="289"/>
      <c r="E41" s="289"/>
      <c r="F41" s="289"/>
      <c r="G41" s="289"/>
      <c r="H41" s="289"/>
      <c r="I41" s="289" t="s">
        <v>305</v>
      </c>
      <c r="J41" s="289"/>
      <c r="K41" s="300"/>
      <c r="L41" s="301">
        <f>L40-L39</f>
        <v>411.4206250000002</v>
      </c>
      <c r="M41" s="302"/>
      <c r="N41" s="301">
        <f>N40-N39</f>
        <v>308.56546875000004</v>
      </c>
      <c r="O41" s="302"/>
      <c r="P41" s="301">
        <f>P40-P39</f>
        <v>218.05293125000003</v>
      </c>
      <c r="Q41" s="302"/>
      <c r="R41" s="301">
        <f>R40-R39</f>
        <v>197.4819</v>
      </c>
      <c r="S41" s="302"/>
      <c r="T41" s="301">
        <f>T40-T39</f>
        <v>197.4819</v>
      </c>
      <c r="U41" s="302"/>
      <c r="V41" s="301">
        <f>V40-V39</f>
        <v>197.4819</v>
      </c>
      <c r="W41" s="302"/>
      <c r="X41" s="301">
        <f>X40-X39</f>
        <v>197.4819</v>
      </c>
      <c r="Y41" s="302"/>
      <c r="Z41" s="301">
        <f>Z40-Z39</f>
        <v>197.4819</v>
      </c>
      <c r="AA41" s="302"/>
      <c r="AB41" s="301">
        <f>AB40-AB39</f>
        <v>197.4819</v>
      </c>
      <c r="AC41" s="302"/>
      <c r="AD41" s="301">
        <f>AD40-AD39</f>
        <v>197.4819</v>
      </c>
      <c r="AE41" s="302"/>
      <c r="AF41" s="301">
        <f>AF40-AF39</f>
        <v>197.4819</v>
      </c>
      <c r="AG41" s="302"/>
      <c r="AH41" s="301">
        <f>AH40-AH39</f>
        <v>197.4819</v>
      </c>
      <c r="AI41" s="303">
        <f>SUM(L41:AH41)</f>
        <v>2715.3761249999998</v>
      </c>
    </row>
    <row r="42" spans="1:36" ht="15.75" customHeight="1">
      <c r="A42" s="283"/>
      <c r="B42" s="284"/>
      <c r="C42" s="285"/>
      <c r="D42" s="284"/>
      <c r="E42" s="284"/>
      <c r="F42" s="284"/>
      <c r="G42" s="284"/>
      <c r="H42" s="284"/>
      <c r="I42" s="304" t="s">
        <v>306</v>
      </c>
      <c r="J42" s="284"/>
      <c r="K42" s="305"/>
      <c r="L42" s="306">
        <f>L39/L40</f>
        <v>0.68749999999999989</v>
      </c>
      <c r="M42" s="307"/>
      <c r="N42" s="306">
        <f>N39/N40</f>
        <v>0.765625</v>
      </c>
      <c r="O42" s="307"/>
      <c r="P42" s="306">
        <f>P39/P40</f>
        <v>0.83437499999999998</v>
      </c>
      <c r="Q42" s="307"/>
      <c r="R42" s="306">
        <f>R39/R40</f>
        <v>0.85</v>
      </c>
      <c r="S42" s="307"/>
      <c r="T42" s="306">
        <f>T39/T40</f>
        <v>0.85</v>
      </c>
      <c r="U42" s="307"/>
      <c r="V42" s="306">
        <f>V39/V40</f>
        <v>0.85</v>
      </c>
      <c r="W42" s="307"/>
      <c r="X42" s="306">
        <f>X39/X40</f>
        <v>0.85</v>
      </c>
      <c r="Y42" s="307"/>
      <c r="Z42" s="306">
        <f>Z39/Z40</f>
        <v>0.85</v>
      </c>
      <c r="AA42" s="307"/>
      <c r="AB42" s="306">
        <f>AB39/AB40</f>
        <v>0.85</v>
      </c>
      <c r="AC42" s="307"/>
      <c r="AD42" s="306">
        <f>AD39/AD40</f>
        <v>0.85</v>
      </c>
      <c r="AE42" s="307"/>
      <c r="AF42" s="306">
        <f>AF39/AF40</f>
        <v>0.85</v>
      </c>
      <c r="AG42" s="307"/>
      <c r="AH42" s="306">
        <f>AH39/AH40</f>
        <v>0.85</v>
      </c>
      <c r="AI42" s="308">
        <f>AVERAGE(L42:AH42)</f>
        <v>0.82812499999999989</v>
      </c>
    </row>
    <row r="43" spans="1:36" ht="15.75" customHeight="1">
      <c r="A43" s="288"/>
      <c r="B43" s="289"/>
      <c r="C43" s="290"/>
      <c r="D43" s="289"/>
      <c r="E43" s="289"/>
      <c r="F43" s="289"/>
      <c r="G43" s="289"/>
      <c r="H43" s="289"/>
      <c r="I43" s="279" t="s">
        <v>307</v>
      </c>
      <c r="J43" s="279"/>
      <c r="K43" s="281"/>
      <c r="L43" s="289">
        <v>0</v>
      </c>
      <c r="M43" s="300"/>
      <c r="N43" s="309">
        <f>N42-L42</f>
        <v>7.8125000000000111E-2</v>
      </c>
      <c r="O43" s="310"/>
      <c r="P43" s="309">
        <f>P42-N42</f>
        <v>6.8749999999999978E-2</v>
      </c>
      <c r="Q43" s="310"/>
      <c r="R43" s="309">
        <f>R42-P42</f>
        <v>1.5625E-2</v>
      </c>
      <c r="S43" s="310"/>
      <c r="T43" s="309">
        <f>T42-R42</f>
        <v>0</v>
      </c>
      <c r="U43" s="310"/>
      <c r="V43" s="309">
        <f>V42-T42</f>
        <v>0</v>
      </c>
      <c r="W43" s="310"/>
      <c r="X43" s="309">
        <f>X42-V42</f>
        <v>0</v>
      </c>
      <c r="Y43" s="310"/>
      <c r="Z43" s="309">
        <f>Z42-X42</f>
        <v>0</v>
      </c>
      <c r="AA43" s="310"/>
      <c r="AB43" s="309">
        <f>AB42-Z42</f>
        <v>0</v>
      </c>
      <c r="AC43" s="310"/>
      <c r="AD43" s="309">
        <f>AD42-AB42</f>
        <v>0</v>
      </c>
      <c r="AE43" s="310"/>
      <c r="AF43" s="309">
        <f>AF42-AD42</f>
        <v>0</v>
      </c>
      <c r="AG43" s="310"/>
      <c r="AH43" s="309">
        <f>AH42-AF42</f>
        <v>0</v>
      </c>
      <c r="AI43" s="311">
        <f>SUM(L43:AH43)</f>
        <v>0.16250000000000009</v>
      </c>
      <c r="AJ43" s="312">
        <f>AVERAGE(TEAMGROWTH!$L43:$AH43)</f>
        <v>1.3541666666666674E-2</v>
      </c>
    </row>
    <row r="44" spans="1:36" ht="15.75" customHeight="1">
      <c r="A44" s="283"/>
      <c r="B44" s="284"/>
      <c r="C44" s="285"/>
      <c r="D44" s="284"/>
      <c r="E44" s="284"/>
      <c r="F44" s="284"/>
      <c r="G44" s="284"/>
      <c r="H44" s="284"/>
      <c r="I44" s="284"/>
      <c r="J44" s="284"/>
      <c r="K44" s="305"/>
      <c r="L44" s="313" t="s">
        <v>4</v>
      </c>
      <c r="M44" s="314"/>
      <c r="N44" s="313" t="s">
        <v>5</v>
      </c>
      <c r="O44" s="314"/>
      <c r="P44" s="313" t="s">
        <v>6</v>
      </c>
      <c r="Q44" s="314"/>
      <c r="R44" s="313" t="s">
        <v>7</v>
      </c>
      <c r="S44" s="314"/>
      <c r="T44" s="313" t="s">
        <v>8</v>
      </c>
      <c r="U44" s="314"/>
      <c r="V44" s="313" t="s">
        <v>9</v>
      </c>
      <c r="W44" s="314"/>
      <c r="X44" s="313" t="s">
        <v>10</v>
      </c>
      <c r="Y44" s="314"/>
      <c r="Z44" s="313" t="s">
        <v>11</v>
      </c>
      <c r="AA44" s="314"/>
      <c r="AB44" s="313" t="s">
        <v>12</v>
      </c>
      <c r="AC44" s="314"/>
      <c r="AD44" s="313" t="s">
        <v>13</v>
      </c>
      <c r="AE44" s="314"/>
      <c r="AF44" s="313" t="s">
        <v>14</v>
      </c>
      <c r="AG44" s="314"/>
      <c r="AH44" s="313" t="s">
        <v>15</v>
      </c>
      <c r="AI44" s="287"/>
    </row>
    <row r="45" spans="1:36" ht="15.75" customHeight="1">
      <c r="A45" s="252"/>
      <c r="B45" s="139"/>
      <c r="I45" s="13" t="s">
        <v>308</v>
      </c>
      <c r="K45" s="140"/>
      <c r="L45" s="315">
        <f>Controls!$D$17*L42</f>
        <v>5.4999999999999991</v>
      </c>
      <c r="N45" s="139">
        <f>Controls!$D$17*N42</f>
        <v>6.125</v>
      </c>
      <c r="O45" s="140"/>
      <c r="P45" s="315">
        <f>Controls!$D$17*P42</f>
        <v>6.6749999999999998</v>
      </c>
      <c r="R45" s="139">
        <f>Controls!$D$17*R42</f>
        <v>6.8</v>
      </c>
      <c r="S45" s="140"/>
      <c r="T45" s="315">
        <f>Controls!$D$17*T42</f>
        <v>6.8</v>
      </c>
      <c r="V45" s="139">
        <f>Controls!$D$17*V42</f>
        <v>6.8</v>
      </c>
      <c r="W45" s="140"/>
      <c r="X45" s="315">
        <f>Controls!$D$17*X42</f>
        <v>6.8</v>
      </c>
      <c r="Z45" s="139">
        <f>Controls!$D$17*Z42</f>
        <v>6.8</v>
      </c>
      <c r="AA45" s="140"/>
      <c r="AB45" s="315">
        <f>Controls!$D$17*AB42</f>
        <v>6.8</v>
      </c>
      <c r="AD45" s="139">
        <f>Controls!$D$17*AD42</f>
        <v>6.8</v>
      </c>
      <c r="AE45" s="140"/>
      <c r="AF45" s="315">
        <f>Controls!$D$17*AF42</f>
        <v>6.8</v>
      </c>
      <c r="AH45" s="139">
        <f>Controls!$D$17*AH42</f>
        <v>6.8</v>
      </c>
      <c r="AI45" s="316"/>
    </row>
    <row r="46" spans="1:36" ht="15.75" customHeight="1">
      <c r="A46" s="252"/>
      <c r="B46" s="139"/>
    </row>
    <row r="47" spans="1:36" ht="15.75" customHeight="1">
      <c r="A47" s="252"/>
      <c r="B47" s="139"/>
    </row>
    <row r="48" spans="1:36" ht="15.75" customHeight="1">
      <c r="A48" s="252"/>
      <c r="B48" s="139"/>
      <c r="L48" s="13" t="s">
        <v>4</v>
      </c>
      <c r="M48" s="13" t="s">
        <v>5</v>
      </c>
      <c r="N48" s="13" t="s">
        <v>6</v>
      </c>
      <c r="O48" s="13" t="s">
        <v>7</v>
      </c>
      <c r="P48" s="13" t="s">
        <v>8</v>
      </c>
      <c r="Q48" s="13" t="s">
        <v>9</v>
      </c>
      <c r="R48" s="13" t="s">
        <v>10</v>
      </c>
      <c r="S48" s="13" t="s">
        <v>11</v>
      </c>
      <c r="T48" s="13" t="s">
        <v>12</v>
      </c>
      <c r="U48" s="13" t="s">
        <v>13</v>
      </c>
      <c r="V48" s="13" t="s">
        <v>14</v>
      </c>
      <c r="W48" s="13" t="s">
        <v>15</v>
      </c>
    </row>
    <row r="49" spans="1:36" ht="15.75" customHeight="1">
      <c r="A49" s="252"/>
      <c r="B49" s="139"/>
      <c r="K49" s="317" t="s">
        <v>308</v>
      </c>
      <c r="L49" s="139">
        <f>L45</f>
        <v>5.4999999999999991</v>
      </c>
      <c r="M49" s="139">
        <f>N45</f>
        <v>6.125</v>
      </c>
      <c r="N49" s="139">
        <f>P45</f>
        <v>6.6749999999999998</v>
      </c>
      <c r="O49" s="139">
        <f>R45</f>
        <v>6.8</v>
      </c>
      <c r="P49" s="139">
        <f>T45</f>
        <v>6.8</v>
      </c>
      <c r="Q49" s="139">
        <f>V45</f>
        <v>6.8</v>
      </c>
      <c r="R49" s="139">
        <f>X45</f>
        <v>6.8</v>
      </c>
      <c r="S49" s="139">
        <f>Z45</f>
        <v>6.8</v>
      </c>
      <c r="T49" s="139">
        <f>AB45</f>
        <v>6.8</v>
      </c>
      <c r="U49" s="139">
        <f>AD45</f>
        <v>6.8</v>
      </c>
      <c r="V49" s="139">
        <f>AF45</f>
        <v>6.8</v>
      </c>
      <c r="W49" s="139">
        <f>AH45</f>
        <v>6.8</v>
      </c>
    </row>
    <row r="50" spans="1:36" ht="15.75" customHeight="1">
      <c r="A50" s="252"/>
      <c r="B50" s="139"/>
    </row>
    <row r="51" spans="1:36" ht="15.75" customHeight="1">
      <c r="A51" s="252"/>
      <c r="B51" s="139"/>
    </row>
    <row r="52" spans="1:36" ht="45" customHeight="1">
      <c r="A52" s="252"/>
      <c r="B52" s="139"/>
    </row>
    <row r="53" spans="1:36" ht="15.75" customHeight="1">
      <c r="A53" s="252"/>
      <c r="B53" s="139"/>
      <c r="F53" s="139"/>
    </row>
    <row r="54" spans="1:36" ht="15.75" customHeight="1">
      <c r="A54" s="252"/>
      <c r="B54" s="139"/>
    </row>
    <row r="55" spans="1:36" ht="15.75" customHeight="1">
      <c r="A55" s="252"/>
      <c r="B55" s="139"/>
    </row>
    <row r="56" spans="1:36" ht="15.75" customHeight="1">
      <c r="A56" s="252"/>
      <c r="B56" s="139"/>
    </row>
    <row r="57" spans="1:36" ht="15.75" customHeight="1">
      <c r="A57" s="253" t="s">
        <v>266</v>
      </c>
      <c r="B57" s="254" t="s">
        <v>267</v>
      </c>
      <c r="C57" s="254" t="s">
        <v>268</v>
      </c>
      <c r="D57" s="255" t="s">
        <v>255</v>
      </c>
      <c r="E57" s="255" t="s">
        <v>309</v>
      </c>
      <c r="F57" s="255" t="s">
        <v>270</v>
      </c>
      <c r="G57" s="255" t="s">
        <v>271</v>
      </c>
      <c r="H57" s="255" t="s">
        <v>272</v>
      </c>
      <c r="I57" s="255" t="s">
        <v>273</v>
      </c>
      <c r="J57" s="255" t="s">
        <v>200</v>
      </c>
      <c r="K57" s="256" t="s">
        <v>310</v>
      </c>
      <c r="L57" s="257" t="s">
        <v>275</v>
      </c>
      <c r="M57" s="258" t="s">
        <v>311</v>
      </c>
      <c r="N57" s="255" t="s">
        <v>277</v>
      </c>
      <c r="O57" s="256" t="s">
        <v>312</v>
      </c>
      <c r="P57" s="257" t="s">
        <v>279</v>
      </c>
      <c r="Q57" s="258" t="s">
        <v>313</v>
      </c>
      <c r="R57" s="255" t="s">
        <v>281</v>
      </c>
      <c r="S57" s="256" t="s">
        <v>314</v>
      </c>
      <c r="T57" s="257" t="s">
        <v>283</v>
      </c>
      <c r="U57" s="258" t="s">
        <v>315</v>
      </c>
      <c r="V57" s="255" t="s">
        <v>285</v>
      </c>
      <c r="W57" s="256" t="s">
        <v>316</v>
      </c>
      <c r="X57" s="257" t="s">
        <v>287</v>
      </c>
      <c r="Y57" s="258" t="s">
        <v>317</v>
      </c>
      <c r="Z57" s="255" t="s">
        <v>289</v>
      </c>
      <c r="AA57" s="256" t="s">
        <v>318</v>
      </c>
      <c r="AB57" s="257" t="s">
        <v>291</v>
      </c>
      <c r="AC57" s="258" t="s">
        <v>319</v>
      </c>
      <c r="AD57" s="255" t="s">
        <v>293</v>
      </c>
      <c r="AE57" s="256" t="s">
        <v>320</v>
      </c>
      <c r="AF57" s="257" t="s">
        <v>295</v>
      </c>
      <c r="AG57" s="258" t="s">
        <v>321</v>
      </c>
      <c r="AH57" s="255" t="s">
        <v>297</v>
      </c>
      <c r="AI57" s="259" t="s">
        <v>1</v>
      </c>
      <c r="AJ57" s="260"/>
    </row>
    <row r="58" spans="1:36" ht="15.75" customHeight="1">
      <c r="A58" s="261">
        <f>(B58-C58)*12</f>
        <v>0</v>
      </c>
      <c r="B58" s="262"/>
      <c r="C58" s="263">
        <f>'Work History'!G33</f>
        <v>0</v>
      </c>
      <c r="D58" s="318" t="s">
        <v>322</v>
      </c>
      <c r="E58" s="264" t="s">
        <v>87</v>
      </c>
      <c r="F58" s="262" t="s">
        <v>93</v>
      </c>
      <c r="G58" s="265">
        <f>Controls!$G$20</f>
        <v>0.125</v>
      </c>
      <c r="H58" s="266">
        <v>1</v>
      </c>
      <c r="I58" s="262">
        <v>1</v>
      </c>
      <c r="J58" s="263"/>
      <c r="K58" s="267" t="s">
        <v>299</v>
      </c>
      <c r="L58" s="268">
        <f>($C$14*$B$19)</f>
        <v>164.56825000000001</v>
      </c>
      <c r="M58" s="267" t="s">
        <v>299</v>
      </c>
      <c r="N58" s="268">
        <f>($C$14*$B$19)</f>
        <v>164.56825000000001</v>
      </c>
      <c r="O58" s="267" t="s">
        <v>299</v>
      </c>
      <c r="P58" s="268">
        <f>($C$14*$B$19)</f>
        <v>164.56825000000001</v>
      </c>
      <c r="Q58" s="267" t="s">
        <v>299</v>
      </c>
      <c r="R58" s="268">
        <f>($C$14*$B$19)</f>
        <v>164.56825000000001</v>
      </c>
      <c r="S58" s="267" t="s">
        <v>299</v>
      </c>
      <c r="T58" s="268">
        <f>($C$14*$B$19)</f>
        <v>164.56825000000001</v>
      </c>
      <c r="U58" s="267" t="s">
        <v>299</v>
      </c>
      <c r="V58" s="268">
        <f>($C$14*$B$19)</f>
        <v>164.56825000000001</v>
      </c>
      <c r="W58" s="319" t="s">
        <v>299</v>
      </c>
      <c r="X58" s="268">
        <f>($C$14*$B$19)</f>
        <v>164.56825000000001</v>
      </c>
      <c r="Y58" s="267" t="s">
        <v>299</v>
      </c>
      <c r="Z58" s="268">
        <f>($C$14*$B$19)</f>
        <v>164.56825000000001</v>
      </c>
      <c r="AA58" s="267" t="s">
        <v>299</v>
      </c>
      <c r="AB58" s="268">
        <f>($C$14*$B$19)</f>
        <v>164.56825000000001</v>
      </c>
      <c r="AC58" s="267" t="s">
        <v>299</v>
      </c>
      <c r="AD58" s="268">
        <f>($C$14*$B$19)</f>
        <v>164.56825000000001</v>
      </c>
      <c r="AE58" s="319" t="s">
        <v>299</v>
      </c>
      <c r="AF58" s="268">
        <f>($C$14*$B$19)</f>
        <v>164.56825000000001</v>
      </c>
      <c r="AG58" s="267" t="s">
        <v>299</v>
      </c>
      <c r="AH58" s="268">
        <f>($C$14*$B$19)</f>
        <v>164.56825000000001</v>
      </c>
      <c r="AI58" s="270"/>
    </row>
    <row r="59" spans="1:36" ht="15.75" customHeight="1">
      <c r="A59" s="261"/>
      <c r="B59" s="262"/>
      <c r="C59" s="263"/>
      <c r="D59" s="262"/>
      <c r="E59" s="264"/>
      <c r="F59" s="262"/>
      <c r="G59" s="262"/>
      <c r="H59" s="266"/>
      <c r="I59" s="262"/>
      <c r="J59" s="263"/>
      <c r="K59" s="267"/>
      <c r="L59" s="268"/>
      <c r="M59" s="269"/>
      <c r="N59" s="268"/>
      <c r="O59" s="269"/>
      <c r="P59" s="268"/>
      <c r="Q59" s="269"/>
      <c r="R59" s="268"/>
      <c r="S59" s="269"/>
      <c r="T59" s="268"/>
      <c r="U59" s="269"/>
      <c r="V59" s="268"/>
      <c r="W59" s="269"/>
      <c r="X59" s="268"/>
      <c r="Y59" s="269"/>
      <c r="Z59" s="268"/>
      <c r="AA59" s="269"/>
      <c r="AB59" s="268"/>
      <c r="AC59" s="269"/>
      <c r="AD59" s="268"/>
      <c r="AE59" s="269"/>
      <c r="AF59" s="268"/>
      <c r="AG59" s="269"/>
      <c r="AH59" s="268"/>
      <c r="AI59" s="270"/>
    </row>
    <row r="60" spans="1:36" ht="15.75" customHeight="1">
      <c r="A60" s="261"/>
      <c r="B60" s="262"/>
      <c r="C60" s="263"/>
      <c r="D60" s="264"/>
      <c r="E60" s="264"/>
      <c r="F60" s="262"/>
      <c r="G60" s="265"/>
      <c r="H60" s="266"/>
      <c r="I60" s="262"/>
      <c r="J60" s="263"/>
      <c r="K60" s="267"/>
      <c r="L60" s="268"/>
      <c r="M60" s="269"/>
      <c r="N60" s="268"/>
      <c r="O60" s="269"/>
      <c r="P60" s="268"/>
      <c r="Q60" s="269"/>
      <c r="R60" s="268"/>
      <c r="S60" s="269"/>
      <c r="T60" s="268"/>
      <c r="U60" s="269"/>
      <c r="V60" s="268"/>
      <c r="W60" s="269"/>
      <c r="X60" s="268"/>
      <c r="Y60" s="269"/>
      <c r="Z60" s="268"/>
      <c r="AA60" s="269"/>
      <c r="AB60" s="268"/>
      <c r="AC60" s="269"/>
      <c r="AD60" s="268"/>
      <c r="AE60" s="269"/>
      <c r="AF60" s="268"/>
      <c r="AG60" s="269"/>
      <c r="AH60" s="268"/>
      <c r="AI60" s="270"/>
    </row>
    <row r="61" spans="1:36" ht="15.75" customHeight="1">
      <c r="A61" s="261"/>
      <c r="B61" s="262"/>
      <c r="C61" s="263"/>
      <c r="D61" s="264"/>
      <c r="E61" s="264"/>
      <c r="F61" s="262"/>
      <c r="G61" s="265"/>
      <c r="H61" s="266"/>
      <c r="I61" s="262"/>
      <c r="J61" s="263"/>
      <c r="K61" s="267"/>
      <c r="L61" s="268"/>
      <c r="M61" s="272"/>
      <c r="N61" s="268"/>
      <c r="O61" s="269"/>
      <c r="P61" s="268"/>
      <c r="Q61" s="269"/>
      <c r="R61" s="268"/>
      <c r="S61" s="269"/>
      <c r="T61" s="268"/>
      <c r="U61" s="269"/>
      <c r="V61" s="268"/>
      <c r="W61" s="269"/>
      <c r="X61" s="268"/>
      <c r="Y61" s="269"/>
      <c r="Z61" s="268"/>
      <c r="AA61" s="269"/>
      <c r="AB61" s="268"/>
      <c r="AC61" s="269"/>
      <c r="AD61" s="268"/>
      <c r="AE61" s="269"/>
      <c r="AF61" s="268"/>
      <c r="AG61" s="269"/>
      <c r="AH61" s="268"/>
      <c r="AI61" s="270"/>
    </row>
    <row r="62" spans="1:36" ht="15.75" customHeight="1">
      <c r="A62" s="261"/>
      <c r="B62" s="262"/>
      <c r="C62" s="263"/>
      <c r="D62" s="264"/>
      <c r="E62" s="264"/>
      <c r="F62" s="262"/>
      <c r="G62" s="265"/>
      <c r="H62" s="266"/>
      <c r="I62" s="262"/>
      <c r="J62" s="263"/>
      <c r="K62" s="267"/>
      <c r="L62" s="268"/>
      <c r="M62" s="269"/>
      <c r="N62" s="268"/>
      <c r="O62" s="269"/>
      <c r="P62" s="268"/>
      <c r="Q62" s="269"/>
      <c r="R62" s="268"/>
      <c r="S62" s="269"/>
      <c r="T62" s="268"/>
      <c r="U62" s="269"/>
      <c r="V62" s="268"/>
      <c r="W62" s="269"/>
      <c r="X62" s="268"/>
      <c r="Y62" s="269"/>
      <c r="Z62" s="268"/>
      <c r="AA62" s="269"/>
      <c r="AB62" s="268"/>
      <c r="AC62" s="269"/>
      <c r="AD62" s="268"/>
      <c r="AE62" s="269"/>
      <c r="AF62" s="268"/>
      <c r="AG62" s="269"/>
      <c r="AH62" s="268"/>
      <c r="AI62" s="270"/>
    </row>
    <row r="63" spans="1:36" ht="15.75" customHeight="1">
      <c r="A63" s="271"/>
      <c r="B63" s="262"/>
      <c r="C63" s="263"/>
      <c r="D63" s="262"/>
      <c r="E63" s="262"/>
      <c r="F63" s="262"/>
      <c r="G63" s="262"/>
      <c r="H63" s="262"/>
      <c r="I63" s="262"/>
      <c r="J63" s="262"/>
      <c r="K63" s="272"/>
      <c r="L63" s="262"/>
      <c r="M63" s="272"/>
      <c r="N63" s="262"/>
      <c r="O63" s="272"/>
      <c r="P63" s="262"/>
      <c r="Q63" s="272"/>
      <c r="R63" s="262"/>
      <c r="S63" s="272"/>
      <c r="T63" s="262"/>
      <c r="U63" s="272"/>
      <c r="V63" s="262"/>
      <c r="W63" s="272"/>
      <c r="X63" s="262"/>
      <c r="Y63" s="272"/>
      <c r="Z63" s="262"/>
      <c r="AA63" s="272"/>
      <c r="AB63" s="262"/>
      <c r="AC63" s="272"/>
      <c r="AD63" s="262"/>
      <c r="AE63" s="272"/>
      <c r="AF63" s="262"/>
      <c r="AG63" s="272"/>
      <c r="AH63" s="262"/>
      <c r="AI63" s="270"/>
    </row>
    <row r="64" spans="1:36" ht="15.75" customHeight="1">
      <c r="A64" s="271"/>
      <c r="B64" s="262"/>
      <c r="C64" s="263"/>
      <c r="D64" s="262"/>
      <c r="E64" s="289"/>
      <c r="F64" s="289"/>
      <c r="G64" s="289"/>
      <c r="H64" s="289"/>
      <c r="I64" s="289"/>
      <c r="J64" s="289" t="s">
        <v>299</v>
      </c>
      <c r="K64" s="300">
        <f>COUNTIF(K58:K62,"Avg")</f>
        <v>1</v>
      </c>
      <c r="L64" s="289" t="s">
        <v>299</v>
      </c>
      <c r="M64" s="300">
        <f>COUNTIF(M58:M62,"Avg")</f>
        <v>1</v>
      </c>
      <c r="N64" s="289" t="s">
        <v>299</v>
      </c>
      <c r="O64" s="300">
        <f>COUNTIF(O58:O62,"Avg")</f>
        <v>1</v>
      </c>
      <c r="P64" s="289" t="s">
        <v>299</v>
      </c>
      <c r="Q64" s="300">
        <f>COUNTIF(Q58:Q62,"Avg")</f>
        <v>1</v>
      </c>
      <c r="R64" s="289" t="s">
        <v>299</v>
      </c>
      <c r="S64" s="300">
        <f>COUNTIF(S58:S62,"Avg")</f>
        <v>1</v>
      </c>
      <c r="T64" s="289" t="s">
        <v>299</v>
      </c>
      <c r="U64" s="300">
        <f>COUNTIF(U58:U62,"Avg")</f>
        <v>1</v>
      </c>
      <c r="V64" s="289" t="s">
        <v>299</v>
      </c>
      <c r="W64" s="300">
        <f>COUNTIF(W58:W62,"Avg")</f>
        <v>1</v>
      </c>
      <c r="X64" s="289" t="s">
        <v>299</v>
      </c>
      <c r="Y64" s="300">
        <f>COUNTIF(Y58:Y62,"Avg")</f>
        <v>1</v>
      </c>
      <c r="Z64" s="289" t="s">
        <v>299</v>
      </c>
      <c r="AA64" s="300">
        <f>COUNTIF(AA58:AA62,"Avg")</f>
        <v>1</v>
      </c>
      <c r="AB64" s="289" t="s">
        <v>299</v>
      </c>
      <c r="AC64" s="300">
        <f>COUNTIF(AC58:AC62,"Avg")</f>
        <v>1</v>
      </c>
      <c r="AD64" s="289" t="s">
        <v>299</v>
      </c>
      <c r="AE64" s="300">
        <f>COUNTIF(AE58:AE62,"Avg")</f>
        <v>1</v>
      </c>
      <c r="AF64" s="289" t="s">
        <v>299</v>
      </c>
      <c r="AG64" s="300">
        <f>COUNTIF(AG58:AG62,"Avg")</f>
        <v>1</v>
      </c>
      <c r="AH64" s="289" t="s">
        <v>299</v>
      </c>
      <c r="AI64" s="320"/>
    </row>
    <row r="65" spans="1:36" ht="15.75" customHeight="1">
      <c r="A65" s="283"/>
      <c r="B65" s="284"/>
      <c r="C65" s="285"/>
      <c r="D65" s="284"/>
      <c r="E65" s="284"/>
      <c r="F65" s="284"/>
      <c r="G65" s="284"/>
      <c r="H65" s="284"/>
      <c r="I65" s="284"/>
      <c r="J65" s="284" t="s">
        <v>89</v>
      </c>
      <c r="K65" s="305">
        <f>COUNTIF(K58:K62,"low")</f>
        <v>0</v>
      </c>
      <c r="L65" s="284" t="s">
        <v>89</v>
      </c>
      <c r="M65" s="305">
        <f>COUNTIF(M58:M62,"low")</f>
        <v>0</v>
      </c>
      <c r="N65" s="284" t="s">
        <v>89</v>
      </c>
      <c r="O65" s="305">
        <f>COUNTIF(O58:O62,"low")</f>
        <v>0</v>
      </c>
      <c r="P65" s="284" t="s">
        <v>89</v>
      </c>
      <c r="Q65" s="305">
        <f>COUNTIF(Q58:Q62,"low")</f>
        <v>0</v>
      </c>
      <c r="R65" s="284" t="s">
        <v>89</v>
      </c>
      <c r="S65" s="305">
        <f>COUNTIF(S58:S62,"low")</f>
        <v>0</v>
      </c>
      <c r="T65" s="284" t="s">
        <v>89</v>
      </c>
      <c r="U65" s="305">
        <f>COUNTIF(U58:U62,"low")</f>
        <v>0</v>
      </c>
      <c r="V65" s="284" t="s">
        <v>89</v>
      </c>
      <c r="W65" s="305">
        <f>COUNTIF(W58:W62,"low")</f>
        <v>0</v>
      </c>
      <c r="X65" s="284" t="s">
        <v>89</v>
      </c>
      <c r="Y65" s="305">
        <f>COUNTIF(Y58:Y62,"low")</f>
        <v>0</v>
      </c>
      <c r="Z65" s="284" t="s">
        <v>89</v>
      </c>
      <c r="AA65" s="305">
        <f>COUNTIF(AA58:AA62,"low")</f>
        <v>0</v>
      </c>
      <c r="AB65" s="284" t="s">
        <v>89</v>
      </c>
      <c r="AC65" s="305">
        <f>COUNTIF(AC58:AC62,"low")</f>
        <v>0</v>
      </c>
      <c r="AD65" s="284" t="s">
        <v>89</v>
      </c>
      <c r="AE65" s="305">
        <f>COUNTIF(AE58:AE62,"low")</f>
        <v>0</v>
      </c>
      <c r="AF65" s="284" t="s">
        <v>89</v>
      </c>
      <c r="AG65" s="305">
        <f>COUNTIF(AG58:AG62,"low")</f>
        <v>0</v>
      </c>
      <c r="AH65" s="284" t="s">
        <v>89</v>
      </c>
      <c r="AI65" s="287"/>
    </row>
    <row r="66" spans="1:36" ht="15.75" customHeight="1">
      <c r="A66" s="288"/>
      <c r="B66" s="289"/>
      <c r="C66" s="290"/>
      <c r="D66" s="289"/>
      <c r="E66" s="289"/>
      <c r="F66" s="289"/>
      <c r="G66" s="289"/>
      <c r="H66" s="289"/>
      <c r="I66" s="289"/>
      <c r="J66" s="289"/>
      <c r="K66" s="321">
        <f>K65/(K64+K65)</f>
        <v>0</v>
      </c>
      <c r="L66" s="290">
        <f>((SUM(L58:L62)*K66))*($E$4)*-1</f>
        <v>0</v>
      </c>
      <c r="M66" s="321">
        <f>M65/(M64+M65)</f>
        <v>0</v>
      </c>
      <c r="N66" s="290">
        <f>((SUM(N58:N62)*M66))*($E$4)*-1</f>
        <v>0</v>
      </c>
      <c r="O66" s="321">
        <f>O65/(O64+O65)</f>
        <v>0</v>
      </c>
      <c r="P66" s="290">
        <f>((SUM(P58:P62)*O66))*($E$4)*-1</f>
        <v>0</v>
      </c>
      <c r="Q66" s="321">
        <f>Q65/(Q64+Q65)</f>
        <v>0</v>
      </c>
      <c r="R66" s="290">
        <f>((SUM(R58:R62)*Q66))*($E$4)*-1</f>
        <v>0</v>
      </c>
      <c r="S66" s="321">
        <f>S65/(S64+S65)</f>
        <v>0</v>
      </c>
      <c r="T66" s="290">
        <f>((SUM(T58:T62)*S66))*($E$4)*-1</f>
        <v>0</v>
      </c>
      <c r="U66" s="321">
        <f>U65/(U64+U65)</f>
        <v>0</v>
      </c>
      <c r="V66" s="290">
        <f>((SUM(V58:V62)*U66))*($E$4)*-1</f>
        <v>0</v>
      </c>
      <c r="W66" s="321">
        <f>W65/(W64+W65)</f>
        <v>0</v>
      </c>
      <c r="X66" s="290">
        <f>((SUM(X58:X62)*W66))*($E$4)*-1</f>
        <v>0</v>
      </c>
      <c r="Y66" s="321">
        <f>Y65/(Y64+Y65)</f>
        <v>0</v>
      </c>
      <c r="Z66" s="290">
        <f>((SUM(Z58:Z62)*Y66))*($E$4)*-1</f>
        <v>0</v>
      </c>
      <c r="AA66" s="321">
        <f>AA65/(AA64+AA65)</f>
        <v>0</v>
      </c>
      <c r="AB66" s="290">
        <f>((SUM(AB58:AB62)*AA66))*($E$4)*-1</f>
        <v>0</v>
      </c>
      <c r="AC66" s="321">
        <f>AC65/(AC64+AC65)</f>
        <v>0</v>
      </c>
      <c r="AD66" s="290">
        <f>((SUM(AD58:AD62)*AC66))*($E$4)*-1</f>
        <v>0</v>
      </c>
      <c r="AE66" s="321">
        <f>AE65/(AE64+AE65)</f>
        <v>0</v>
      </c>
      <c r="AF66" s="290">
        <f>((SUM(AF58:AF62)*AE66))*($E$4)*-1</f>
        <v>0</v>
      </c>
      <c r="AG66" s="321">
        <f>AG65/(AG64+AG65)</f>
        <v>0</v>
      </c>
      <c r="AH66" s="290">
        <f>((SUM(AH58:AH62)*AG66))*($E$4)*-1</f>
        <v>0</v>
      </c>
      <c r="AI66" s="320"/>
    </row>
    <row r="67" spans="1:36" ht="15.75" customHeight="1">
      <c r="A67" s="283"/>
      <c r="B67" s="284"/>
      <c r="C67" s="285"/>
      <c r="D67" s="284"/>
      <c r="E67" s="284"/>
      <c r="F67" s="284"/>
      <c r="G67" s="284"/>
      <c r="H67" s="284"/>
      <c r="I67" s="322" t="s">
        <v>115</v>
      </c>
      <c r="J67" s="322"/>
      <c r="K67" s="296"/>
      <c r="L67" s="323">
        <f>SUM(L58:L66)</f>
        <v>164.56825000000001</v>
      </c>
      <c r="M67" s="298"/>
      <c r="N67" s="323">
        <f>SUM(N58:N66)</f>
        <v>164.56825000000001</v>
      </c>
      <c r="O67" s="298"/>
      <c r="P67" s="323">
        <f>SUM(P58:P66)</f>
        <v>164.56825000000001</v>
      </c>
      <c r="Q67" s="298"/>
      <c r="R67" s="323">
        <f>SUM(R58:R66)</f>
        <v>164.56825000000001</v>
      </c>
      <c r="S67" s="298"/>
      <c r="T67" s="323">
        <f>SUM(T58:T66)</f>
        <v>164.56825000000001</v>
      </c>
      <c r="U67" s="298"/>
      <c r="V67" s="323">
        <f>SUM(V58:V66)</f>
        <v>164.56825000000001</v>
      </c>
      <c r="W67" s="298"/>
      <c r="X67" s="323">
        <f>SUM(X58:X66)</f>
        <v>164.56825000000001</v>
      </c>
      <c r="Y67" s="298"/>
      <c r="Z67" s="323">
        <f>SUM(Z58:Z66)</f>
        <v>164.56825000000001</v>
      </c>
      <c r="AA67" s="298"/>
      <c r="AB67" s="323">
        <f>SUM(AB58:AB66)</f>
        <v>164.56825000000001</v>
      </c>
      <c r="AC67" s="298"/>
      <c r="AD67" s="323">
        <f>SUM(AD58:AD66)</f>
        <v>164.56825000000001</v>
      </c>
      <c r="AE67" s="298"/>
      <c r="AF67" s="323">
        <f>SUM(AF58:AF66)</f>
        <v>164.56825000000001</v>
      </c>
      <c r="AG67" s="298"/>
      <c r="AH67" s="323">
        <f>SUM(AH58:AH66)</f>
        <v>164.56825000000001</v>
      </c>
      <c r="AI67" s="324">
        <f>SUM(L67:AH67)</f>
        <v>1974.8190000000002</v>
      </c>
    </row>
    <row r="68" spans="1:36" ht="15.75" customHeight="1">
      <c r="A68" s="288"/>
      <c r="B68" s="289"/>
      <c r="C68" s="290"/>
      <c r="D68" s="289"/>
      <c r="E68" s="289"/>
      <c r="F68" s="289"/>
      <c r="G68" s="289"/>
      <c r="H68" s="289"/>
      <c r="I68" s="137" t="s">
        <v>304</v>
      </c>
      <c r="J68" s="137"/>
      <c r="K68" s="325"/>
      <c r="L68" s="297">
        <f>$C$14*$B$19*$B$22</f>
        <v>164.56825000000001</v>
      </c>
      <c r="M68" s="326"/>
      <c r="N68" s="297">
        <f>$C$14*$B$19*$B$22</f>
        <v>164.56825000000001</v>
      </c>
      <c r="O68" s="326"/>
      <c r="P68" s="297">
        <f>$C$14*$B$19*$B$22</f>
        <v>164.56825000000001</v>
      </c>
      <c r="Q68" s="326"/>
      <c r="R68" s="297">
        <f>$C$14*$B$19*$B$22</f>
        <v>164.56825000000001</v>
      </c>
      <c r="S68" s="326"/>
      <c r="T68" s="297">
        <f>$C$14*$B$19*$B$22</f>
        <v>164.56825000000001</v>
      </c>
      <c r="U68" s="326"/>
      <c r="V68" s="297">
        <f>$C$14*$B$19*$B$22</f>
        <v>164.56825000000001</v>
      </c>
      <c r="W68" s="326"/>
      <c r="X68" s="297">
        <f>$C$14*$B$19*$B$22</f>
        <v>164.56825000000001</v>
      </c>
      <c r="Y68" s="326"/>
      <c r="Z68" s="297">
        <f>$C$14*$B$19*$B$22</f>
        <v>164.56825000000001</v>
      </c>
      <c r="AA68" s="326"/>
      <c r="AB68" s="297">
        <f>$C$14*$B$19*$B$22</f>
        <v>164.56825000000001</v>
      </c>
      <c r="AC68" s="326"/>
      <c r="AD68" s="297">
        <f>$C$14*$B$19*$B$22</f>
        <v>164.56825000000001</v>
      </c>
      <c r="AE68" s="326"/>
      <c r="AF68" s="297">
        <f>$C$14*$B$19*$B$22</f>
        <v>164.56825000000001</v>
      </c>
      <c r="AG68" s="326"/>
      <c r="AH68" s="297">
        <f>$C$14*$B$19*$B$22</f>
        <v>164.56825000000001</v>
      </c>
      <c r="AI68" s="327">
        <f>SUM(L68:AH68)</f>
        <v>1974.8190000000002</v>
      </c>
    </row>
    <row r="69" spans="1:36" ht="15.75" customHeight="1">
      <c r="A69" s="283"/>
      <c r="B69" s="284"/>
      <c r="C69" s="285"/>
      <c r="D69" s="284"/>
      <c r="E69" s="284"/>
      <c r="F69" s="284"/>
      <c r="G69" s="284"/>
      <c r="H69" s="284"/>
      <c r="I69" s="284" t="s">
        <v>305</v>
      </c>
      <c r="J69" s="284"/>
      <c r="K69" s="305"/>
      <c r="L69" s="328">
        <f>L68-L67</f>
        <v>0</v>
      </c>
      <c r="M69" s="329"/>
      <c r="N69" s="328">
        <f>N68-N67</f>
        <v>0</v>
      </c>
      <c r="O69" s="329"/>
      <c r="P69" s="328">
        <f>P68-P67</f>
        <v>0</v>
      </c>
      <c r="Q69" s="329"/>
      <c r="R69" s="328">
        <f>R68-R67</f>
        <v>0</v>
      </c>
      <c r="S69" s="329"/>
      <c r="T69" s="328">
        <f>T68-T67</f>
        <v>0</v>
      </c>
      <c r="U69" s="329"/>
      <c r="V69" s="328">
        <f>V68-V67</f>
        <v>0</v>
      </c>
      <c r="W69" s="329"/>
      <c r="X69" s="328">
        <f>X68-X67</f>
        <v>0</v>
      </c>
      <c r="Y69" s="329"/>
      <c r="Z69" s="328">
        <f>Z68-Z67</f>
        <v>0</v>
      </c>
      <c r="AA69" s="329"/>
      <c r="AB69" s="328">
        <f>AB68-AB67</f>
        <v>0</v>
      </c>
      <c r="AC69" s="329"/>
      <c r="AD69" s="328">
        <f>AD68-AD67</f>
        <v>0</v>
      </c>
      <c r="AE69" s="329"/>
      <c r="AF69" s="328">
        <f>AF68-AF67</f>
        <v>0</v>
      </c>
      <c r="AG69" s="329"/>
      <c r="AH69" s="328">
        <f>AH68-AH67</f>
        <v>0</v>
      </c>
      <c r="AI69" s="330">
        <f>SUM(L69:AH69)</f>
        <v>0</v>
      </c>
    </row>
    <row r="70" spans="1:36" ht="15.75" customHeight="1">
      <c r="A70" s="288"/>
      <c r="B70" s="289"/>
      <c r="C70" s="290"/>
      <c r="D70" s="289"/>
      <c r="E70" s="289"/>
      <c r="F70" s="289"/>
      <c r="G70" s="289"/>
      <c r="H70" s="289"/>
      <c r="I70" s="331" t="s">
        <v>306</v>
      </c>
      <c r="J70" s="289"/>
      <c r="K70" s="300"/>
      <c r="L70" s="306">
        <f>L67/L68</f>
        <v>1</v>
      </c>
      <c r="M70" s="310"/>
      <c r="N70" s="306">
        <f>N67/N68</f>
        <v>1</v>
      </c>
      <c r="O70" s="310"/>
      <c r="P70" s="306">
        <f>P67/P68</f>
        <v>1</v>
      </c>
      <c r="Q70" s="310"/>
      <c r="R70" s="306">
        <f>R67/R68</f>
        <v>1</v>
      </c>
      <c r="S70" s="310"/>
      <c r="T70" s="306">
        <f>T67/T68</f>
        <v>1</v>
      </c>
      <c r="U70" s="310"/>
      <c r="V70" s="306">
        <f>V67/V68</f>
        <v>1</v>
      </c>
      <c r="W70" s="310"/>
      <c r="X70" s="306">
        <f>X67/X68</f>
        <v>1</v>
      </c>
      <c r="Y70" s="310"/>
      <c r="Z70" s="306">
        <f>Z67/Z68</f>
        <v>1</v>
      </c>
      <c r="AA70" s="310"/>
      <c r="AB70" s="306">
        <f>AB67/AB68</f>
        <v>1</v>
      </c>
      <c r="AC70" s="310"/>
      <c r="AD70" s="306">
        <f>AD67/AD68</f>
        <v>1</v>
      </c>
      <c r="AE70" s="310"/>
      <c r="AF70" s="306">
        <f>AF67/AF68</f>
        <v>1</v>
      </c>
      <c r="AG70" s="310"/>
      <c r="AH70" s="306">
        <f>AH67/AH68</f>
        <v>1</v>
      </c>
      <c r="AI70" s="311">
        <f>AVERAGE(L70:AH70)</f>
        <v>1</v>
      </c>
    </row>
    <row r="71" spans="1:36" ht="15.75" customHeight="1">
      <c r="A71" s="283"/>
      <c r="B71" s="284"/>
      <c r="C71" s="285"/>
      <c r="D71" s="284"/>
      <c r="E71" s="284"/>
      <c r="F71" s="284"/>
      <c r="G71" s="284"/>
      <c r="H71" s="284"/>
      <c r="I71" s="274" t="s">
        <v>307</v>
      </c>
      <c r="J71" s="274"/>
      <c r="K71" s="276"/>
      <c r="L71" s="284">
        <v>0</v>
      </c>
      <c r="M71" s="305"/>
      <c r="N71" s="332">
        <f>N70-L70</f>
        <v>0</v>
      </c>
      <c r="O71" s="307"/>
      <c r="P71" s="332">
        <f>P70-N70</f>
        <v>0</v>
      </c>
      <c r="Q71" s="307"/>
      <c r="R71" s="332">
        <f>R70-P70</f>
        <v>0</v>
      </c>
      <c r="S71" s="307"/>
      <c r="T71" s="332">
        <f>T70-R70</f>
        <v>0</v>
      </c>
      <c r="U71" s="307"/>
      <c r="V71" s="332">
        <f>V70-T70</f>
        <v>0</v>
      </c>
      <c r="W71" s="307"/>
      <c r="X71" s="332">
        <f>X70-V70</f>
        <v>0</v>
      </c>
      <c r="Y71" s="307"/>
      <c r="Z71" s="332">
        <f>Z70-X70</f>
        <v>0</v>
      </c>
      <c r="AA71" s="307"/>
      <c r="AB71" s="332">
        <f>AB70-Z70</f>
        <v>0</v>
      </c>
      <c r="AC71" s="307"/>
      <c r="AD71" s="332">
        <f>AD70-AB70</f>
        <v>0</v>
      </c>
      <c r="AE71" s="307"/>
      <c r="AF71" s="332">
        <f>AF70-AD70</f>
        <v>0</v>
      </c>
      <c r="AG71" s="307"/>
      <c r="AH71" s="332">
        <f>AH70-AF70</f>
        <v>0</v>
      </c>
      <c r="AI71" s="308">
        <f>SUM(L71:AH71)</f>
        <v>0</v>
      </c>
      <c r="AJ71" s="312">
        <f>AVERAGE(TEAMGROWTH!$L71:$AH71)</f>
        <v>0</v>
      </c>
    </row>
    <row r="72" spans="1:36" ht="15.75" customHeight="1">
      <c r="A72" s="288"/>
      <c r="B72" s="289"/>
      <c r="C72" s="290"/>
      <c r="D72" s="289"/>
      <c r="E72" s="289"/>
      <c r="F72" s="289"/>
      <c r="G72" s="289"/>
      <c r="H72" s="289"/>
      <c r="I72" s="289"/>
      <c r="J72" s="289"/>
      <c r="K72" s="300"/>
      <c r="L72" s="333" t="s">
        <v>4</v>
      </c>
      <c r="M72" s="334"/>
      <c r="N72" s="333" t="s">
        <v>5</v>
      </c>
      <c r="O72" s="334"/>
      <c r="P72" s="333" t="s">
        <v>6</v>
      </c>
      <c r="Q72" s="334"/>
      <c r="R72" s="333" t="s">
        <v>7</v>
      </c>
      <c r="S72" s="334"/>
      <c r="T72" s="333" t="s">
        <v>8</v>
      </c>
      <c r="U72" s="334"/>
      <c r="V72" s="333" t="s">
        <v>9</v>
      </c>
      <c r="W72" s="334"/>
      <c r="X72" s="333" t="s">
        <v>10</v>
      </c>
      <c r="Y72" s="334"/>
      <c r="Z72" s="333" t="s">
        <v>11</v>
      </c>
      <c r="AA72" s="334"/>
      <c r="AB72" s="333" t="s">
        <v>12</v>
      </c>
      <c r="AC72" s="334"/>
      <c r="AD72" s="333" t="s">
        <v>13</v>
      </c>
      <c r="AE72" s="334"/>
      <c r="AF72" s="333" t="s">
        <v>14</v>
      </c>
      <c r="AG72" s="334"/>
      <c r="AH72" s="333" t="s">
        <v>15</v>
      </c>
      <c r="AI72" s="320"/>
    </row>
    <row r="73" spans="1:36" ht="33" customHeight="1">
      <c r="A73" s="252"/>
      <c r="B73" s="139"/>
      <c r="I73" s="13" t="s">
        <v>308</v>
      </c>
      <c r="K73" s="250"/>
      <c r="L73" s="315">
        <f>Controls!$D$18*L70</f>
        <v>1</v>
      </c>
      <c r="N73" s="335">
        <f>Controls!$D$18*N70</f>
        <v>1</v>
      </c>
      <c r="O73" s="140"/>
      <c r="P73" s="315">
        <f>Controls!$D$18*P70</f>
        <v>1</v>
      </c>
      <c r="R73" s="335">
        <f>Controls!$D$18*R70</f>
        <v>1</v>
      </c>
      <c r="S73" s="140"/>
      <c r="T73" s="315">
        <f>Controls!$D$18*T70</f>
        <v>1</v>
      </c>
      <c r="V73" s="335">
        <f>Controls!$D$18*V70</f>
        <v>1</v>
      </c>
      <c r="W73" s="140"/>
      <c r="X73" s="315">
        <f>Controls!$D$18*X70</f>
        <v>1</v>
      </c>
      <c r="Z73" s="335">
        <f>Controls!$D$18*Z70</f>
        <v>1</v>
      </c>
      <c r="AA73" s="140"/>
      <c r="AB73" s="315">
        <f>Controls!$D$18*AB70</f>
        <v>1</v>
      </c>
      <c r="AD73" s="335">
        <f>Controls!$D$18*AD70</f>
        <v>1</v>
      </c>
      <c r="AE73" s="140"/>
      <c r="AF73" s="315">
        <f>Controls!$D$18*AF70</f>
        <v>1</v>
      </c>
      <c r="AH73" s="335">
        <f>Controls!$D$18*AH70</f>
        <v>1</v>
      </c>
      <c r="AI73" s="316"/>
    </row>
    <row r="74" spans="1:36" ht="15.75" customHeight="1">
      <c r="A74" s="252"/>
      <c r="B74" s="139"/>
    </row>
    <row r="75" spans="1:36" ht="15.75" customHeight="1">
      <c r="A75" s="252"/>
      <c r="B75" s="139"/>
    </row>
    <row r="76" spans="1:36" ht="15.75" customHeight="1">
      <c r="A76" s="252"/>
      <c r="B76" s="139"/>
      <c r="L76" s="13" t="s">
        <v>4</v>
      </c>
      <c r="M76" s="13" t="s">
        <v>5</v>
      </c>
      <c r="N76" s="13" t="s">
        <v>6</v>
      </c>
      <c r="O76" s="13" t="s">
        <v>7</v>
      </c>
      <c r="P76" s="13" t="s">
        <v>8</v>
      </c>
      <c r="Q76" s="13" t="s">
        <v>9</v>
      </c>
      <c r="R76" s="13" t="s">
        <v>10</v>
      </c>
      <c r="S76" s="13" t="s">
        <v>11</v>
      </c>
      <c r="T76" s="13" t="s">
        <v>12</v>
      </c>
      <c r="U76" s="13" t="s">
        <v>13</v>
      </c>
      <c r="V76" s="13" t="s">
        <v>14</v>
      </c>
      <c r="W76" s="13" t="s">
        <v>15</v>
      </c>
    </row>
    <row r="77" spans="1:36" ht="15.75" customHeight="1">
      <c r="A77" s="252"/>
      <c r="B77" s="139"/>
      <c r="K77" s="317" t="s">
        <v>308</v>
      </c>
      <c r="L77" s="139">
        <f>L73</f>
        <v>1</v>
      </c>
      <c r="M77" s="139">
        <f>N73</f>
        <v>1</v>
      </c>
      <c r="N77" s="139">
        <f>P73</f>
        <v>1</v>
      </c>
      <c r="O77" s="139">
        <f>R73</f>
        <v>1</v>
      </c>
      <c r="P77" s="139">
        <f>T73</f>
        <v>1</v>
      </c>
      <c r="Q77" s="139">
        <f>V73</f>
        <v>1</v>
      </c>
      <c r="R77" s="139">
        <f>X73</f>
        <v>1</v>
      </c>
      <c r="S77" s="139">
        <f>Z73</f>
        <v>1</v>
      </c>
      <c r="T77" s="139">
        <f>AB73</f>
        <v>1</v>
      </c>
      <c r="U77" s="139">
        <f>AD73</f>
        <v>1</v>
      </c>
      <c r="V77" s="139">
        <f>AF73</f>
        <v>1</v>
      </c>
      <c r="W77" s="139">
        <f>AH73</f>
        <v>1</v>
      </c>
    </row>
    <row r="78" spans="1:36" ht="15.75" customHeight="1">
      <c r="A78" s="252"/>
    </row>
    <row r="79" spans="1:36" ht="15.75" customHeight="1">
      <c r="A79" s="252"/>
    </row>
    <row r="80" spans="1:36" ht="15.75" customHeight="1">
      <c r="A80" s="252"/>
    </row>
    <row r="81" spans="1:1" ht="15.75" customHeight="1">
      <c r="A81" s="252"/>
    </row>
    <row r="82" spans="1:1" ht="15.75" customHeight="1">
      <c r="A82" s="252"/>
    </row>
    <row r="83" spans="1:1" ht="15.75" customHeight="1">
      <c r="A83" s="252"/>
    </row>
    <row r="84" spans="1:1" ht="15.75" customHeight="1">
      <c r="A84" s="252"/>
    </row>
    <row r="85" spans="1:1" ht="15.75" customHeight="1">
      <c r="A85" s="252"/>
    </row>
    <row r="86" spans="1:1" ht="15.75" customHeight="1">
      <c r="A86" s="252"/>
    </row>
    <row r="87" spans="1:1" ht="15.75" customHeight="1">
      <c r="A87" s="252"/>
    </row>
    <row r="88" spans="1:1" ht="15.75" customHeight="1">
      <c r="A88" s="252"/>
    </row>
    <row r="89" spans="1:1" ht="15.75" customHeight="1">
      <c r="A89" s="252"/>
    </row>
    <row r="90" spans="1:1" ht="15.75" customHeight="1">
      <c r="A90" s="252"/>
    </row>
    <row r="91" spans="1:1" ht="15.75" customHeight="1">
      <c r="A91" s="252"/>
    </row>
    <row r="92" spans="1:1" ht="15.75" customHeight="1">
      <c r="A92" s="252"/>
    </row>
    <row r="93" spans="1:1" ht="15.75" customHeight="1">
      <c r="A93" s="252"/>
    </row>
    <row r="94" spans="1:1" ht="15.75" customHeight="1">
      <c r="A94" s="252"/>
    </row>
    <row r="95" spans="1:1" ht="15.75" customHeight="1">
      <c r="A95" s="252"/>
    </row>
    <row r="96" spans="1:1" ht="15.75" customHeight="1">
      <c r="A96" s="252"/>
    </row>
    <row r="97" spans="1:1" ht="15.75" customHeight="1">
      <c r="A97" s="252"/>
    </row>
    <row r="98" spans="1:1" ht="15.75" customHeight="1">
      <c r="A98" s="252"/>
    </row>
    <row r="99" spans="1:1" ht="15.75" customHeight="1">
      <c r="A99" s="252"/>
    </row>
    <row r="100" spans="1:1" ht="15.75" customHeight="1">
      <c r="A100" s="252"/>
    </row>
    <row r="101" spans="1:1" ht="15.75" customHeight="1">
      <c r="A101" s="252"/>
    </row>
    <row r="102" spans="1:1" ht="15.75" customHeight="1">
      <c r="A102" s="252"/>
    </row>
    <row r="103" spans="1:1" ht="15.75" customHeight="1">
      <c r="A103" s="252"/>
    </row>
    <row r="104" spans="1:1" ht="15.75" customHeight="1">
      <c r="A104" s="252"/>
    </row>
    <row r="105" spans="1:1" ht="15.75" customHeight="1">
      <c r="A105" s="252"/>
    </row>
    <row r="106" spans="1:1" ht="15.75" customHeight="1">
      <c r="A106" s="252"/>
    </row>
    <row r="107" spans="1:1" ht="15.75" customHeight="1">
      <c r="A107" s="252"/>
    </row>
    <row r="108" spans="1:1" ht="15.75" customHeight="1">
      <c r="A108" s="252"/>
    </row>
    <row r="109" spans="1:1" ht="15.75" customHeight="1">
      <c r="A109" s="252"/>
    </row>
    <row r="110" spans="1:1" ht="15.75" customHeight="1">
      <c r="A110" s="252"/>
    </row>
    <row r="111" spans="1:1" ht="15.75" customHeight="1">
      <c r="A111" s="252"/>
    </row>
    <row r="112" spans="1:1" ht="15.75" customHeight="1">
      <c r="A112" s="252"/>
    </row>
    <row r="113" spans="1:1" ht="15.75" customHeight="1">
      <c r="A113" s="252"/>
    </row>
    <row r="114" spans="1:1" ht="15.75" customHeight="1">
      <c r="A114" s="252"/>
    </row>
    <row r="115" spans="1:1" ht="15.75" customHeight="1">
      <c r="A115" s="252"/>
    </row>
    <row r="116" spans="1:1" ht="15.75" customHeight="1">
      <c r="A116" s="252"/>
    </row>
    <row r="117" spans="1:1" ht="15.75" customHeight="1">
      <c r="A117" s="252"/>
    </row>
    <row r="118" spans="1:1" ht="15.75" customHeight="1">
      <c r="A118" s="252"/>
    </row>
    <row r="119" spans="1:1" ht="15.75" customHeight="1">
      <c r="A119" s="252"/>
    </row>
    <row r="120" spans="1:1" ht="15.75" customHeight="1">
      <c r="A120" s="252"/>
    </row>
    <row r="121" spans="1:1" ht="15.75" customHeight="1">
      <c r="A121" s="252"/>
    </row>
    <row r="122" spans="1:1" ht="15.75" customHeight="1">
      <c r="A122" s="252"/>
    </row>
    <row r="123" spans="1:1" ht="15.75" customHeight="1">
      <c r="A123" s="252"/>
    </row>
    <row r="124" spans="1:1" ht="15.75" customHeight="1">
      <c r="A124" s="252"/>
    </row>
    <row r="125" spans="1:1" ht="15.75" customHeight="1">
      <c r="A125" s="252"/>
    </row>
    <row r="126" spans="1:1" ht="15.75" customHeight="1">
      <c r="A126" s="252"/>
    </row>
    <row r="127" spans="1:1" ht="15.75" customHeight="1">
      <c r="A127" s="252"/>
    </row>
    <row r="128" spans="1:1" ht="15.75" customHeight="1">
      <c r="A128" s="252"/>
    </row>
    <row r="129" spans="1:1" ht="15.75" customHeight="1">
      <c r="A129" s="252"/>
    </row>
    <row r="130" spans="1:1" ht="15.75" customHeight="1">
      <c r="A130" s="252"/>
    </row>
    <row r="131" spans="1:1" ht="15.75" customHeight="1">
      <c r="A131" s="252"/>
    </row>
    <row r="132" spans="1:1" ht="15.75" customHeight="1">
      <c r="A132" s="252"/>
    </row>
    <row r="133" spans="1:1" ht="15.75" customHeight="1">
      <c r="A133" s="252"/>
    </row>
    <row r="134" spans="1:1" ht="15.75" customHeight="1">
      <c r="A134" s="252"/>
    </row>
    <row r="135" spans="1:1" ht="15.75" customHeight="1">
      <c r="A135" s="252"/>
    </row>
    <row r="136" spans="1:1" ht="15.75" customHeight="1">
      <c r="A136" s="252"/>
    </row>
    <row r="137" spans="1:1" ht="15.75" customHeight="1">
      <c r="A137" s="252"/>
    </row>
    <row r="138" spans="1:1" ht="15.75" customHeight="1">
      <c r="A138" s="252"/>
    </row>
    <row r="139" spans="1:1" ht="15.75" customHeight="1">
      <c r="A139" s="252"/>
    </row>
    <row r="140" spans="1:1" ht="15.75" customHeight="1">
      <c r="A140" s="252"/>
    </row>
    <row r="141" spans="1:1" ht="15.75" customHeight="1">
      <c r="A141" s="252"/>
    </row>
    <row r="142" spans="1:1" ht="15.75" customHeight="1">
      <c r="A142" s="252"/>
    </row>
    <row r="143" spans="1:1" ht="15.75" customHeight="1">
      <c r="A143" s="252"/>
    </row>
    <row r="144" spans="1:1" ht="15.75" customHeight="1">
      <c r="A144" s="252"/>
    </row>
    <row r="145" spans="1:1" ht="15.75" customHeight="1">
      <c r="A145" s="252"/>
    </row>
    <row r="146" spans="1:1" ht="15.75" customHeight="1">
      <c r="A146" s="252"/>
    </row>
    <row r="147" spans="1:1" ht="15.75" customHeight="1">
      <c r="A147" s="252"/>
    </row>
    <row r="148" spans="1:1" ht="15.75" customHeight="1">
      <c r="A148" s="252"/>
    </row>
    <row r="149" spans="1:1" ht="15.75" customHeight="1">
      <c r="A149" s="252"/>
    </row>
    <row r="150" spans="1:1" ht="15.75" customHeight="1">
      <c r="A150" s="252"/>
    </row>
    <row r="151" spans="1:1" ht="15.75" customHeight="1">
      <c r="A151" s="252"/>
    </row>
    <row r="152" spans="1:1" ht="15.75" customHeight="1">
      <c r="A152" s="252"/>
    </row>
    <row r="153" spans="1:1" ht="15.75" customHeight="1">
      <c r="A153" s="252"/>
    </row>
    <row r="154" spans="1:1" ht="15.75" customHeight="1">
      <c r="A154" s="252"/>
    </row>
    <row r="155" spans="1:1" ht="15.75" customHeight="1">
      <c r="A155" s="252"/>
    </row>
    <row r="156" spans="1:1" ht="15.75" customHeight="1">
      <c r="A156" s="252"/>
    </row>
    <row r="157" spans="1:1" ht="15.75" customHeight="1">
      <c r="A157" s="252"/>
    </row>
    <row r="158" spans="1:1" ht="15.75" customHeight="1">
      <c r="A158" s="252"/>
    </row>
    <row r="159" spans="1:1" ht="15.75" customHeight="1">
      <c r="A159" s="252"/>
    </row>
    <row r="160" spans="1:1" ht="15.75" customHeight="1">
      <c r="A160" s="252"/>
    </row>
    <row r="161" spans="1:1" ht="15.75" customHeight="1">
      <c r="A161" s="252"/>
    </row>
    <row r="162" spans="1:1" ht="15.75" customHeight="1">
      <c r="A162" s="252"/>
    </row>
    <row r="163" spans="1:1" ht="15.75" customHeight="1">
      <c r="A163" s="252"/>
    </row>
    <row r="164" spans="1:1" ht="15.75" customHeight="1">
      <c r="A164" s="252"/>
    </row>
    <row r="165" spans="1:1" ht="15.75" customHeight="1">
      <c r="A165" s="252"/>
    </row>
    <row r="166" spans="1:1" ht="15.75" customHeight="1">
      <c r="A166" s="252"/>
    </row>
    <row r="167" spans="1:1" ht="15.75" customHeight="1">
      <c r="A167" s="252"/>
    </row>
    <row r="168" spans="1:1" ht="15.75" customHeight="1">
      <c r="A168" s="252"/>
    </row>
    <row r="169" spans="1:1" ht="15.75" customHeight="1">
      <c r="A169" s="252"/>
    </row>
    <row r="170" spans="1:1" ht="15.75" customHeight="1">
      <c r="A170" s="252"/>
    </row>
    <row r="171" spans="1:1" ht="15.75" customHeight="1">
      <c r="A171" s="252"/>
    </row>
    <row r="172" spans="1:1" ht="15.75" customHeight="1">
      <c r="A172" s="252"/>
    </row>
    <row r="173" spans="1:1" ht="15.75" customHeight="1">
      <c r="A173" s="252"/>
    </row>
    <row r="174" spans="1:1" ht="15.75" customHeight="1">
      <c r="A174" s="252"/>
    </row>
    <row r="175" spans="1:1" ht="15.75" customHeight="1">
      <c r="A175" s="252"/>
    </row>
    <row r="176" spans="1:1" ht="15.75" customHeight="1">
      <c r="A176" s="252"/>
    </row>
    <row r="177" spans="1:1" ht="15.75" customHeight="1">
      <c r="A177" s="252"/>
    </row>
    <row r="178" spans="1:1" ht="15.75" customHeight="1">
      <c r="A178" s="252"/>
    </row>
    <row r="179" spans="1:1" ht="15.75" customHeight="1">
      <c r="A179" s="252"/>
    </row>
    <row r="180" spans="1:1" ht="15.75" customHeight="1">
      <c r="A180" s="252"/>
    </row>
    <row r="181" spans="1:1" ht="15.75" customHeight="1">
      <c r="A181" s="252"/>
    </row>
    <row r="182" spans="1:1" ht="15.75" customHeight="1">
      <c r="A182" s="252"/>
    </row>
    <row r="183" spans="1:1" ht="15.75" customHeight="1">
      <c r="A183" s="252"/>
    </row>
    <row r="184" spans="1:1" ht="15.75" customHeight="1">
      <c r="A184" s="252"/>
    </row>
    <row r="185" spans="1:1" ht="15.75" customHeight="1">
      <c r="A185" s="252"/>
    </row>
    <row r="186" spans="1:1" ht="15.75" customHeight="1">
      <c r="A186" s="252"/>
    </row>
    <row r="187" spans="1:1" ht="15.75" customHeight="1">
      <c r="A187" s="252"/>
    </row>
    <row r="188" spans="1:1" ht="15.75" customHeight="1">
      <c r="A188" s="252"/>
    </row>
    <row r="189" spans="1:1" ht="15.75" customHeight="1">
      <c r="A189" s="252"/>
    </row>
    <row r="190" spans="1:1" ht="15.75" customHeight="1">
      <c r="A190" s="252"/>
    </row>
    <row r="191" spans="1:1" ht="15.75" customHeight="1">
      <c r="A191" s="252"/>
    </row>
    <row r="192" spans="1:1" ht="15.75" customHeight="1">
      <c r="A192" s="252"/>
    </row>
    <row r="193" spans="1:1" ht="15.75" customHeight="1">
      <c r="A193" s="252"/>
    </row>
    <row r="194" spans="1:1" ht="15.75" customHeight="1">
      <c r="A194" s="252"/>
    </row>
    <row r="195" spans="1:1" ht="15.75" customHeight="1">
      <c r="A195" s="252"/>
    </row>
    <row r="196" spans="1:1" ht="15.75" customHeight="1">
      <c r="A196" s="252"/>
    </row>
    <row r="197" spans="1:1" ht="15.75" customHeight="1">
      <c r="A197" s="252"/>
    </row>
    <row r="198" spans="1:1" ht="15.75" customHeight="1">
      <c r="A198" s="252"/>
    </row>
    <row r="199" spans="1:1" ht="15.75" customHeight="1">
      <c r="A199" s="252"/>
    </row>
    <row r="200" spans="1:1" ht="15.75" customHeight="1">
      <c r="A200" s="252"/>
    </row>
    <row r="201" spans="1:1" ht="15.75" customHeight="1">
      <c r="A201" s="252"/>
    </row>
    <row r="202" spans="1:1" ht="15.75" customHeight="1">
      <c r="A202" s="252"/>
    </row>
    <row r="203" spans="1:1" ht="15.75" customHeight="1">
      <c r="A203" s="252"/>
    </row>
    <row r="204" spans="1:1" ht="15.75" customHeight="1">
      <c r="A204" s="252"/>
    </row>
    <row r="205" spans="1:1" ht="15.75" customHeight="1">
      <c r="A205" s="252"/>
    </row>
    <row r="206" spans="1:1" ht="15.75" customHeight="1">
      <c r="A206" s="252"/>
    </row>
    <row r="207" spans="1:1" ht="15.75" customHeight="1">
      <c r="A207" s="252"/>
    </row>
    <row r="208" spans="1:1" ht="15.75" customHeight="1">
      <c r="A208" s="252"/>
    </row>
    <row r="209" spans="1:1" ht="15.75" customHeight="1">
      <c r="A209" s="252"/>
    </row>
    <row r="210" spans="1:1" ht="15.75" customHeight="1">
      <c r="A210" s="252"/>
    </row>
    <row r="211" spans="1:1" ht="15.75" customHeight="1">
      <c r="A211" s="252"/>
    </row>
    <row r="212" spans="1:1" ht="15.75" customHeight="1">
      <c r="A212" s="252"/>
    </row>
    <row r="213" spans="1:1" ht="15.75" customHeight="1">
      <c r="A213" s="252"/>
    </row>
    <row r="214" spans="1:1" ht="15.75" customHeight="1">
      <c r="A214" s="252"/>
    </row>
    <row r="215" spans="1:1" ht="15.75" customHeight="1">
      <c r="A215" s="252"/>
    </row>
    <row r="216" spans="1:1" ht="15.75" customHeight="1">
      <c r="A216" s="252"/>
    </row>
    <row r="217" spans="1:1" ht="15.75" customHeight="1">
      <c r="A217" s="252"/>
    </row>
    <row r="218" spans="1:1" ht="15.75" customHeight="1">
      <c r="A218" s="252"/>
    </row>
    <row r="219" spans="1:1" ht="15.75" customHeight="1">
      <c r="A219" s="252"/>
    </row>
    <row r="220" spans="1:1" ht="15.75" customHeight="1">
      <c r="A220" s="252"/>
    </row>
    <row r="221" spans="1:1" ht="15.75" customHeight="1">
      <c r="A221" s="252"/>
    </row>
    <row r="222" spans="1:1" ht="15.75" customHeight="1">
      <c r="A222" s="252"/>
    </row>
    <row r="223" spans="1:1" ht="15.75" customHeight="1">
      <c r="A223" s="252"/>
    </row>
    <row r="224" spans="1:1" ht="15.75" customHeight="1">
      <c r="A224" s="252"/>
    </row>
    <row r="225" spans="1:1" ht="15.75" customHeight="1">
      <c r="A225" s="252"/>
    </row>
    <row r="226" spans="1:1" ht="15.75" customHeight="1">
      <c r="A226" s="252"/>
    </row>
    <row r="227" spans="1:1" ht="15.75" customHeight="1">
      <c r="A227" s="252"/>
    </row>
    <row r="228" spans="1:1" ht="15.75" customHeight="1">
      <c r="A228" s="252"/>
    </row>
    <row r="229" spans="1:1" ht="15.75" customHeight="1">
      <c r="A229" s="252"/>
    </row>
    <row r="230" spans="1:1" ht="15.75" customHeight="1">
      <c r="A230" s="252"/>
    </row>
    <row r="231" spans="1:1" ht="15.75" customHeight="1">
      <c r="A231" s="252"/>
    </row>
    <row r="232" spans="1:1" ht="15.75" customHeight="1">
      <c r="A232" s="252"/>
    </row>
    <row r="233" spans="1:1" ht="15.75" customHeight="1">
      <c r="A233" s="252"/>
    </row>
    <row r="234" spans="1:1" ht="15.75" customHeight="1">
      <c r="A234" s="252"/>
    </row>
    <row r="235" spans="1:1" ht="15.75" customHeight="1">
      <c r="A235" s="252"/>
    </row>
    <row r="236" spans="1:1" ht="15.75" customHeight="1">
      <c r="A236" s="252"/>
    </row>
    <row r="237" spans="1:1" ht="15.75" customHeight="1">
      <c r="A237" s="252"/>
    </row>
    <row r="238" spans="1:1" ht="15.75" customHeight="1">
      <c r="A238" s="252"/>
    </row>
    <row r="239" spans="1:1" ht="15.75" customHeight="1">
      <c r="A239" s="252"/>
    </row>
    <row r="240" spans="1:1" ht="15.75" customHeight="1">
      <c r="A240" s="252"/>
    </row>
    <row r="241" spans="1:1" ht="15.75" customHeight="1">
      <c r="A241" s="252"/>
    </row>
    <row r="242" spans="1:1" ht="15.75" customHeight="1">
      <c r="A242" s="252"/>
    </row>
    <row r="243" spans="1:1" ht="15.75" customHeight="1">
      <c r="A243" s="252"/>
    </row>
    <row r="244" spans="1:1" ht="15.75" customHeight="1">
      <c r="A244" s="252"/>
    </row>
    <row r="245" spans="1:1" ht="15.75" customHeight="1">
      <c r="A245" s="252"/>
    </row>
    <row r="246" spans="1:1" ht="15.75" customHeight="1">
      <c r="A246" s="252"/>
    </row>
    <row r="247" spans="1:1" ht="15.75" customHeight="1">
      <c r="A247" s="252"/>
    </row>
    <row r="248" spans="1:1" ht="15.75" customHeight="1">
      <c r="A248" s="252"/>
    </row>
    <row r="249" spans="1:1" ht="15.75" customHeight="1">
      <c r="A249" s="252"/>
    </row>
    <row r="250" spans="1:1" ht="15.75" customHeight="1">
      <c r="A250" s="252"/>
    </row>
    <row r="251" spans="1:1" ht="15.75" customHeight="1">
      <c r="A251" s="252"/>
    </row>
    <row r="252" spans="1:1" ht="15.75" customHeight="1">
      <c r="A252" s="252"/>
    </row>
    <row r="253" spans="1:1" ht="15.75" customHeight="1">
      <c r="A253" s="252"/>
    </row>
    <row r="254" spans="1:1" ht="15.75" customHeight="1">
      <c r="A254" s="252"/>
    </row>
    <row r="255" spans="1:1" ht="15.75" customHeight="1">
      <c r="A255" s="252"/>
    </row>
    <row r="256" spans="1:1" ht="15.75" customHeight="1">
      <c r="A256" s="252"/>
    </row>
    <row r="257" spans="1:1" ht="15.75" customHeight="1">
      <c r="A257" s="252"/>
    </row>
    <row r="258" spans="1:1" ht="15.75" customHeight="1">
      <c r="A258" s="252"/>
    </row>
    <row r="259" spans="1:1" ht="15.75" customHeight="1">
      <c r="A259" s="252"/>
    </row>
    <row r="260" spans="1:1" ht="15.75" customHeight="1">
      <c r="A260" s="252"/>
    </row>
    <row r="261" spans="1:1" ht="15.75" customHeight="1">
      <c r="A261" s="252"/>
    </row>
    <row r="262" spans="1:1" ht="15.75" customHeight="1">
      <c r="A262" s="252"/>
    </row>
    <row r="263" spans="1:1" ht="15.75" customHeight="1">
      <c r="A263" s="252"/>
    </row>
    <row r="264" spans="1:1" ht="15.75" customHeight="1">
      <c r="A264" s="252"/>
    </row>
    <row r="265" spans="1:1" ht="15.75" customHeight="1">
      <c r="A265" s="252"/>
    </row>
    <row r="266" spans="1:1" ht="15.75" customHeight="1">
      <c r="A266" s="252"/>
    </row>
    <row r="267" spans="1:1" ht="15.75" customHeight="1">
      <c r="A267" s="252"/>
    </row>
    <row r="268" spans="1:1" ht="15.75" customHeight="1">
      <c r="A268" s="252"/>
    </row>
    <row r="269" spans="1:1" ht="15.75" customHeight="1">
      <c r="A269" s="252"/>
    </row>
    <row r="270" spans="1:1" ht="15.75" customHeight="1">
      <c r="A270" s="252"/>
    </row>
    <row r="271" spans="1:1" ht="15.75" customHeight="1">
      <c r="A271" s="252"/>
    </row>
    <row r="272" spans="1:1" ht="15.75" customHeight="1">
      <c r="A272" s="252"/>
    </row>
    <row r="273" spans="1:1" ht="15.75" customHeight="1">
      <c r="A273" s="252"/>
    </row>
    <row r="274" spans="1:1" ht="15.75" customHeight="1">
      <c r="A274" s="252"/>
    </row>
    <row r="275" spans="1:1" ht="15.75" customHeight="1">
      <c r="A275" s="252"/>
    </row>
    <row r="276" spans="1:1" ht="15.75" customHeight="1">
      <c r="A276" s="252"/>
    </row>
    <row r="277" spans="1:1" ht="15.75" customHeight="1">
      <c r="A277" s="252"/>
    </row>
    <row r="278" spans="1:1" ht="15.75" customHeight="1">
      <c r="A278" s="252"/>
    </row>
    <row r="279" spans="1:1" ht="15.75" customHeight="1">
      <c r="A279" s="252"/>
    </row>
    <row r="280" spans="1:1" ht="15.75" customHeight="1">
      <c r="A280" s="252"/>
    </row>
    <row r="281" spans="1:1" ht="15.75" customHeight="1">
      <c r="A281" s="252"/>
    </row>
    <row r="282" spans="1:1" ht="15.75" customHeight="1">
      <c r="A282" s="252"/>
    </row>
    <row r="283" spans="1:1" ht="15.75" customHeight="1">
      <c r="A283" s="252"/>
    </row>
    <row r="284" spans="1:1" ht="15.75" customHeight="1">
      <c r="A284" s="252"/>
    </row>
    <row r="285" spans="1:1" ht="15.75" customHeight="1">
      <c r="A285" s="252"/>
    </row>
    <row r="286" spans="1:1" ht="15.75" customHeight="1">
      <c r="A286" s="252"/>
    </row>
    <row r="287" spans="1:1" ht="15.75" customHeight="1">
      <c r="A287" s="252"/>
    </row>
    <row r="288" spans="1:1" ht="15.75" customHeight="1">
      <c r="A288" s="252"/>
    </row>
    <row r="289" spans="1:1" ht="15.75" customHeight="1">
      <c r="A289" s="252"/>
    </row>
    <row r="290" spans="1:1" ht="15.75" customHeight="1">
      <c r="A290" s="252"/>
    </row>
    <row r="291" spans="1:1" ht="15.75" customHeight="1">
      <c r="A291" s="252"/>
    </row>
    <row r="292" spans="1:1" ht="15.75" customHeight="1">
      <c r="A292" s="252"/>
    </row>
    <row r="293" spans="1:1" ht="15.75" customHeight="1">
      <c r="A293" s="252"/>
    </row>
    <row r="294" spans="1:1" ht="15.75" customHeight="1">
      <c r="A294" s="252"/>
    </row>
    <row r="295" spans="1:1" ht="15.75" customHeight="1">
      <c r="A295" s="252"/>
    </row>
    <row r="296" spans="1:1" ht="15.75" customHeight="1">
      <c r="A296" s="252"/>
    </row>
    <row r="297" spans="1:1" ht="15.75" customHeight="1">
      <c r="A297" s="252"/>
    </row>
    <row r="298" spans="1:1" ht="15.75" customHeight="1">
      <c r="A298" s="252"/>
    </row>
    <row r="299" spans="1:1" ht="15.75" customHeight="1">
      <c r="A299" s="252"/>
    </row>
    <row r="300" spans="1:1" ht="15.75" customHeight="1">
      <c r="A300" s="252"/>
    </row>
    <row r="301" spans="1:1" ht="15.75" customHeight="1">
      <c r="A301" s="252"/>
    </row>
    <row r="302" spans="1:1" ht="15.75" customHeight="1">
      <c r="A302" s="252"/>
    </row>
    <row r="303" spans="1:1" ht="15.75" customHeight="1">
      <c r="A303" s="252"/>
    </row>
    <row r="304" spans="1:1" ht="15.75" customHeight="1">
      <c r="A304" s="252"/>
    </row>
    <row r="305" spans="1:1" ht="15.75" customHeight="1">
      <c r="A305" s="252"/>
    </row>
    <row r="306" spans="1:1" ht="15.75" customHeight="1">
      <c r="A306" s="252"/>
    </row>
    <row r="307" spans="1:1" ht="15.75" customHeight="1">
      <c r="A307" s="252"/>
    </row>
    <row r="308" spans="1:1" ht="15.75" customHeight="1">
      <c r="A308" s="252"/>
    </row>
    <row r="309" spans="1:1" ht="15.75" customHeight="1">
      <c r="A309" s="252"/>
    </row>
    <row r="310" spans="1:1" ht="15.75" customHeight="1">
      <c r="A310" s="252"/>
    </row>
    <row r="311" spans="1:1" ht="15.75" customHeight="1">
      <c r="A311" s="252"/>
    </row>
    <row r="312" spans="1:1" ht="15.75" customHeight="1">
      <c r="A312" s="252"/>
    </row>
    <row r="313" spans="1:1" ht="15.75" customHeight="1">
      <c r="A313" s="252"/>
    </row>
    <row r="314" spans="1:1" ht="15.75" customHeight="1">
      <c r="A314" s="252"/>
    </row>
    <row r="315" spans="1:1" ht="15.75" customHeight="1">
      <c r="A315" s="252"/>
    </row>
    <row r="316" spans="1:1" ht="15.75" customHeight="1">
      <c r="A316" s="252"/>
    </row>
    <row r="317" spans="1:1" ht="15.75" customHeight="1">
      <c r="A317" s="252"/>
    </row>
    <row r="318" spans="1:1" ht="15.75" customHeight="1">
      <c r="A318" s="252"/>
    </row>
    <row r="319" spans="1:1" ht="15.75" customHeight="1">
      <c r="A319" s="252"/>
    </row>
    <row r="320" spans="1:1" ht="15.75" customHeight="1">
      <c r="A320" s="252"/>
    </row>
    <row r="321" spans="1:1" ht="15.75" customHeight="1">
      <c r="A321" s="252"/>
    </row>
    <row r="322" spans="1:1" ht="15.75" customHeight="1">
      <c r="A322" s="252"/>
    </row>
    <row r="323" spans="1:1" ht="15.75" customHeight="1">
      <c r="A323" s="252"/>
    </row>
    <row r="324" spans="1:1" ht="15.75" customHeight="1">
      <c r="A324" s="252"/>
    </row>
    <row r="325" spans="1:1" ht="15.75" customHeight="1">
      <c r="A325" s="252"/>
    </row>
    <row r="326" spans="1:1" ht="15.75" customHeight="1">
      <c r="A326" s="252"/>
    </row>
    <row r="327" spans="1:1" ht="15.75" customHeight="1">
      <c r="A327" s="252"/>
    </row>
    <row r="328" spans="1:1" ht="15.75" customHeight="1">
      <c r="A328" s="252"/>
    </row>
    <row r="329" spans="1:1" ht="15.75" customHeight="1">
      <c r="A329" s="252"/>
    </row>
    <row r="330" spans="1:1" ht="15.75" customHeight="1">
      <c r="A330" s="252"/>
    </row>
    <row r="331" spans="1:1" ht="15.75" customHeight="1">
      <c r="A331" s="252"/>
    </row>
    <row r="332" spans="1:1" ht="15.75" customHeight="1">
      <c r="A332" s="252"/>
    </row>
    <row r="333" spans="1:1" ht="15.75" customHeight="1">
      <c r="A333" s="252"/>
    </row>
    <row r="334" spans="1:1" ht="15.75" customHeight="1">
      <c r="A334" s="252"/>
    </row>
    <row r="335" spans="1:1" ht="15.75" customHeight="1">
      <c r="A335" s="252"/>
    </row>
    <row r="336" spans="1:1" ht="15.75" customHeight="1">
      <c r="A336" s="252"/>
    </row>
    <row r="337" spans="1:1" ht="15.75" customHeight="1">
      <c r="A337" s="252"/>
    </row>
    <row r="338" spans="1:1" ht="15.75" customHeight="1">
      <c r="A338" s="252"/>
    </row>
    <row r="339" spans="1:1" ht="15.75" customHeight="1">
      <c r="A339" s="252"/>
    </row>
    <row r="340" spans="1:1" ht="15.75" customHeight="1">
      <c r="A340" s="252"/>
    </row>
    <row r="341" spans="1:1" ht="15.75" customHeight="1">
      <c r="A341" s="252"/>
    </row>
    <row r="342" spans="1:1" ht="15.75" customHeight="1">
      <c r="A342" s="252"/>
    </row>
    <row r="343" spans="1:1" ht="15.75" customHeight="1">
      <c r="A343" s="252"/>
    </row>
    <row r="344" spans="1:1" ht="15.75" customHeight="1">
      <c r="A344" s="252"/>
    </row>
    <row r="345" spans="1:1" ht="15.75" customHeight="1">
      <c r="A345" s="252"/>
    </row>
    <row r="346" spans="1:1" ht="15.75" customHeight="1">
      <c r="A346" s="252"/>
    </row>
    <row r="347" spans="1:1" ht="15.75" customHeight="1">
      <c r="A347" s="252"/>
    </row>
    <row r="348" spans="1:1" ht="15.75" customHeight="1">
      <c r="A348" s="252"/>
    </row>
    <row r="349" spans="1:1" ht="15.75" customHeight="1">
      <c r="A349" s="252"/>
    </row>
    <row r="350" spans="1:1" ht="15.75" customHeight="1">
      <c r="A350" s="252"/>
    </row>
    <row r="351" spans="1:1" ht="15.75" customHeight="1">
      <c r="A351" s="252"/>
    </row>
    <row r="352" spans="1:1" ht="15.75" customHeight="1">
      <c r="A352" s="252"/>
    </row>
    <row r="353" spans="1:1" ht="15.75" customHeight="1">
      <c r="A353" s="252"/>
    </row>
    <row r="354" spans="1:1" ht="15.75" customHeight="1">
      <c r="A354" s="252"/>
    </row>
    <row r="355" spans="1:1" ht="15.75" customHeight="1">
      <c r="A355" s="252"/>
    </row>
    <row r="356" spans="1:1" ht="15.75" customHeight="1">
      <c r="A356" s="252"/>
    </row>
    <row r="357" spans="1:1" ht="15.75" customHeight="1">
      <c r="A357" s="252"/>
    </row>
    <row r="358" spans="1:1" ht="15.75" customHeight="1">
      <c r="A358" s="252"/>
    </row>
    <row r="359" spans="1:1" ht="15.75" customHeight="1">
      <c r="A359" s="252"/>
    </row>
    <row r="360" spans="1:1" ht="15.75" customHeight="1">
      <c r="A360" s="252"/>
    </row>
    <row r="361" spans="1:1" ht="15.75" customHeight="1">
      <c r="A361" s="252"/>
    </row>
    <row r="362" spans="1:1" ht="15.75" customHeight="1">
      <c r="A362" s="252"/>
    </row>
    <row r="363" spans="1:1" ht="15.75" customHeight="1">
      <c r="A363" s="252"/>
    </row>
    <row r="364" spans="1:1" ht="15.75" customHeight="1">
      <c r="A364" s="252"/>
    </row>
    <row r="365" spans="1:1" ht="15.75" customHeight="1">
      <c r="A365" s="252"/>
    </row>
    <row r="366" spans="1:1" ht="15.75" customHeight="1">
      <c r="A366" s="252"/>
    </row>
    <row r="367" spans="1:1" ht="15.75" customHeight="1">
      <c r="A367" s="252"/>
    </row>
    <row r="368" spans="1:1" ht="15.75" customHeight="1">
      <c r="A368" s="252"/>
    </row>
    <row r="369" spans="1:1" ht="15.75" customHeight="1">
      <c r="A369" s="252"/>
    </row>
    <row r="370" spans="1:1" ht="15.75" customHeight="1">
      <c r="A370" s="252"/>
    </row>
    <row r="371" spans="1:1" ht="15.75" customHeight="1">
      <c r="A371" s="252"/>
    </row>
    <row r="372" spans="1:1" ht="15.75" customHeight="1">
      <c r="A372" s="252"/>
    </row>
    <row r="373" spans="1:1" ht="15.75" customHeight="1">
      <c r="A373" s="252"/>
    </row>
    <row r="374" spans="1:1" ht="15.75" customHeight="1">
      <c r="A374" s="252"/>
    </row>
    <row r="375" spans="1:1" ht="15.75" customHeight="1">
      <c r="A375" s="252"/>
    </row>
    <row r="376" spans="1:1" ht="15.75" customHeight="1">
      <c r="A376" s="252"/>
    </row>
    <row r="377" spans="1:1" ht="15.75" customHeight="1">
      <c r="A377" s="252"/>
    </row>
    <row r="378" spans="1:1" ht="15.75" customHeight="1">
      <c r="A378" s="252"/>
    </row>
    <row r="379" spans="1:1" ht="15.75" customHeight="1">
      <c r="A379" s="252"/>
    </row>
    <row r="380" spans="1:1" ht="15.75" customHeight="1">
      <c r="A380" s="252"/>
    </row>
    <row r="381" spans="1:1" ht="15.75" customHeight="1">
      <c r="A381" s="252"/>
    </row>
    <row r="382" spans="1:1" ht="15.75" customHeight="1">
      <c r="A382" s="252"/>
    </row>
    <row r="383" spans="1:1" ht="15.75" customHeight="1">
      <c r="A383" s="252"/>
    </row>
    <row r="384" spans="1:1" ht="15.75" customHeight="1">
      <c r="A384" s="252"/>
    </row>
    <row r="385" spans="1:1" ht="15.75" customHeight="1">
      <c r="A385" s="252"/>
    </row>
    <row r="386" spans="1:1" ht="15.75" customHeight="1">
      <c r="A386" s="252"/>
    </row>
    <row r="387" spans="1:1" ht="15.75" customHeight="1">
      <c r="A387" s="252"/>
    </row>
    <row r="388" spans="1:1" ht="15.75" customHeight="1">
      <c r="A388" s="252"/>
    </row>
    <row r="389" spans="1:1" ht="15.75" customHeight="1">
      <c r="A389" s="252"/>
    </row>
    <row r="390" spans="1:1" ht="15.75" customHeight="1">
      <c r="A390" s="252"/>
    </row>
    <row r="391" spans="1:1" ht="15.75" customHeight="1">
      <c r="A391" s="252"/>
    </row>
    <row r="392" spans="1:1" ht="15.75" customHeight="1">
      <c r="A392" s="252"/>
    </row>
    <row r="393" spans="1:1" ht="15.75" customHeight="1">
      <c r="A393" s="252"/>
    </row>
    <row r="394" spans="1:1" ht="15.75" customHeight="1">
      <c r="A394" s="252"/>
    </row>
    <row r="395" spans="1:1" ht="15.75" customHeight="1">
      <c r="A395" s="252"/>
    </row>
    <row r="396" spans="1:1" ht="15.75" customHeight="1">
      <c r="A396" s="252"/>
    </row>
    <row r="397" spans="1:1" ht="15.75" customHeight="1">
      <c r="A397" s="252"/>
    </row>
    <row r="398" spans="1:1" ht="15.75" customHeight="1">
      <c r="A398" s="252"/>
    </row>
    <row r="399" spans="1:1" ht="15.75" customHeight="1">
      <c r="A399" s="252"/>
    </row>
    <row r="400" spans="1:1" ht="15.75" customHeight="1">
      <c r="A400" s="252"/>
    </row>
    <row r="401" spans="1:1" ht="15.75" customHeight="1">
      <c r="A401" s="252"/>
    </row>
    <row r="402" spans="1:1" ht="15.75" customHeight="1">
      <c r="A402" s="252"/>
    </row>
    <row r="403" spans="1:1" ht="15.75" customHeight="1">
      <c r="A403" s="252"/>
    </row>
    <row r="404" spans="1:1" ht="15.75" customHeight="1">
      <c r="A404" s="252"/>
    </row>
    <row r="405" spans="1:1" ht="15.75" customHeight="1">
      <c r="A405" s="252"/>
    </row>
    <row r="406" spans="1:1" ht="15.75" customHeight="1">
      <c r="A406" s="252"/>
    </row>
    <row r="407" spans="1:1" ht="15.75" customHeight="1">
      <c r="A407" s="252"/>
    </row>
    <row r="408" spans="1:1" ht="15.75" customHeight="1">
      <c r="A408" s="252"/>
    </row>
    <row r="409" spans="1:1" ht="15.75" customHeight="1">
      <c r="A409" s="252"/>
    </row>
    <row r="410" spans="1:1" ht="15.75" customHeight="1">
      <c r="A410" s="252"/>
    </row>
    <row r="411" spans="1:1" ht="15.75" customHeight="1">
      <c r="A411" s="252"/>
    </row>
    <row r="412" spans="1:1" ht="15.75" customHeight="1">
      <c r="A412" s="252"/>
    </row>
    <row r="413" spans="1:1" ht="15.75" customHeight="1">
      <c r="A413" s="252"/>
    </row>
    <row r="414" spans="1:1" ht="15.75" customHeight="1">
      <c r="A414" s="252"/>
    </row>
    <row r="415" spans="1:1" ht="15.75" customHeight="1">
      <c r="A415" s="252"/>
    </row>
    <row r="416" spans="1:1" ht="15.75" customHeight="1">
      <c r="A416" s="252"/>
    </row>
    <row r="417" spans="1:1" ht="15.75" customHeight="1">
      <c r="A417" s="252"/>
    </row>
    <row r="418" spans="1:1" ht="15.75" customHeight="1">
      <c r="A418" s="252"/>
    </row>
    <row r="419" spans="1:1" ht="15.75" customHeight="1">
      <c r="A419" s="252"/>
    </row>
    <row r="420" spans="1:1" ht="15.75" customHeight="1">
      <c r="A420" s="252"/>
    </row>
    <row r="421" spans="1:1" ht="15.75" customHeight="1">
      <c r="A421" s="252"/>
    </row>
    <row r="422" spans="1:1" ht="15.75" customHeight="1">
      <c r="A422" s="252"/>
    </row>
    <row r="423" spans="1:1" ht="15.75" customHeight="1">
      <c r="A423" s="252"/>
    </row>
    <row r="424" spans="1:1" ht="15.75" customHeight="1">
      <c r="A424" s="252"/>
    </row>
    <row r="425" spans="1:1" ht="15.75" customHeight="1">
      <c r="A425" s="252"/>
    </row>
    <row r="426" spans="1:1" ht="15.75" customHeight="1">
      <c r="A426" s="252"/>
    </row>
    <row r="427" spans="1:1" ht="15.75" customHeight="1">
      <c r="A427" s="252"/>
    </row>
    <row r="428" spans="1:1" ht="15.75" customHeight="1">
      <c r="A428" s="252"/>
    </row>
    <row r="429" spans="1:1" ht="15.75" customHeight="1">
      <c r="A429" s="252"/>
    </row>
    <row r="430" spans="1:1" ht="15.75" customHeight="1">
      <c r="A430" s="252"/>
    </row>
    <row r="431" spans="1:1" ht="15.75" customHeight="1">
      <c r="A431" s="252"/>
    </row>
    <row r="432" spans="1:1" ht="15.75" customHeight="1">
      <c r="A432" s="252"/>
    </row>
    <row r="433" spans="1:1" ht="15.75" customHeight="1">
      <c r="A433" s="252"/>
    </row>
    <row r="434" spans="1:1" ht="15.75" customHeight="1">
      <c r="A434" s="252"/>
    </row>
    <row r="435" spans="1:1" ht="15.75" customHeight="1">
      <c r="A435" s="252"/>
    </row>
    <row r="436" spans="1:1" ht="15.75" customHeight="1">
      <c r="A436" s="252"/>
    </row>
    <row r="437" spans="1:1" ht="15.75" customHeight="1">
      <c r="A437" s="252"/>
    </row>
    <row r="438" spans="1:1" ht="15.75" customHeight="1">
      <c r="A438" s="252"/>
    </row>
    <row r="439" spans="1:1" ht="15.75" customHeight="1">
      <c r="A439" s="252"/>
    </row>
    <row r="440" spans="1:1" ht="15.75" customHeight="1">
      <c r="A440" s="252"/>
    </row>
    <row r="441" spans="1:1" ht="15.75" customHeight="1">
      <c r="A441" s="252"/>
    </row>
    <row r="442" spans="1:1" ht="15.75" customHeight="1">
      <c r="A442" s="252"/>
    </row>
    <row r="443" spans="1:1" ht="15.75" customHeight="1">
      <c r="A443" s="252"/>
    </row>
    <row r="444" spans="1:1" ht="15.75" customHeight="1">
      <c r="A444" s="252"/>
    </row>
    <row r="445" spans="1:1" ht="15.75" customHeight="1">
      <c r="A445" s="252"/>
    </row>
    <row r="446" spans="1:1" ht="15.75" customHeight="1">
      <c r="A446" s="252"/>
    </row>
    <row r="447" spans="1:1" ht="15.75" customHeight="1">
      <c r="A447" s="252"/>
    </row>
    <row r="448" spans="1:1" ht="15.75" customHeight="1">
      <c r="A448" s="252"/>
    </row>
    <row r="449" spans="1:1" ht="15.75" customHeight="1">
      <c r="A449" s="252"/>
    </row>
    <row r="450" spans="1:1" ht="15.75" customHeight="1">
      <c r="A450" s="252"/>
    </row>
    <row r="451" spans="1:1" ht="15.75" customHeight="1">
      <c r="A451" s="252"/>
    </row>
    <row r="452" spans="1:1" ht="15.75" customHeight="1">
      <c r="A452" s="252"/>
    </row>
    <row r="453" spans="1:1" ht="15.75" customHeight="1">
      <c r="A453" s="252"/>
    </row>
    <row r="454" spans="1:1" ht="15.75" customHeight="1">
      <c r="A454" s="252"/>
    </row>
    <row r="455" spans="1:1" ht="15.75" customHeight="1">
      <c r="A455" s="252"/>
    </row>
    <row r="456" spans="1:1" ht="15.75" customHeight="1">
      <c r="A456" s="252"/>
    </row>
    <row r="457" spans="1:1" ht="15.75" customHeight="1">
      <c r="A457" s="252"/>
    </row>
    <row r="458" spans="1:1" ht="15.75" customHeight="1">
      <c r="A458" s="252"/>
    </row>
    <row r="459" spans="1:1" ht="15.75" customHeight="1">
      <c r="A459" s="252"/>
    </row>
    <row r="460" spans="1:1" ht="15.75" customHeight="1">
      <c r="A460" s="252"/>
    </row>
    <row r="461" spans="1:1" ht="15.75" customHeight="1">
      <c r="A461" s="252"/>
    </row>
    <row r="462" spans="1:1" ht="15.75" customHeight="1">
      <c r="A462" s="252"/>
    </row>
    <row r="463" spans="1:1" ht="15.75" customHeight="1">
      <c r="A463" s="252"/>
    </row>
    <row r="464" spans="1:1" ht="15.75" customHeight="1">
      <c r="A464" s="252"/>
    </row>
    <row r="465" spans="1:1" ht="15.75" customHeight="1">
      <c r="A465" s="252"/>
    </row>
    <row r="466" spans="1:1" ht="15.75" customHeight="1">
      <c r="A466" s="252"/>
    </row>
    <row r="467" spans="1:1" ht="15.75" customHeight="1">
      <c r="A467" s="252"/>
    </row>
    <row r="468" spans="1:1" ht="15.75" customHeight="1">
      <c r="A468" s="252"/>
    </row>
    <row r="469" spans="1:1" ht="15.75" customHeight="1">
      <c r="A469" s="252"/>
    </row>
    <row r="470" spans="1:1" ht="15.75" customHeight="1">
      <c r="A470" s="252"/>
    </row>
    <row r="471" spans="1:1" ht="15.75" customHeight="1">
      <c r="A471" s="252"/>
    </row>
    <row r="472" spans="1:1" ht="15.75" customHeight="1">
      <c r="A472" s="252"/>
    </row>
    <row r="473" spans="1:1" ht="15.75" customHeight="1">
      <c r="A473" s="252"/>
    </row>
    <row r="474" spans="1:1" ht="15.75" customHeight="1">
      <c r="A474" s="252"/>
    </row>
    <row r="475" spans="1:1" ht="15.75" customHeight="1">
      <c r="A475" s="252"/>
    </row>
    <row r="476" spans="1:1" ht="15.75" customHeight="1">
      <c r="A476" s="252"/>
    </row>
    <row r="477" spans="1:1" ht="15.75" customHeight="1">
      <c r="A477" s="252"/>
    </row>
    <row r="478" spans="1:1" ht="15.75" customHeight="1">
      <c r="A478" s="252"/>
    </row>
    <row r="479" spans="1:1" ht="15.75" customHeight="1">
      <c r="A479" s="252"/>
    </row>
    <row r="480" spans="1:1" ht="15.75" customHeight="1">
      <c r="A480" s="252"/>
    </row>
    <row r="481" spans="1:1" ht="15.75" customHeight="1">
      <c r="A481" s="252"/>
    </row>
    <row r="482" spans="1:1" ht="15.75" customHeight="1">
      <c r="A482" s="252"/>
    </row>
    <row r="483" spans="1:1" ht="15.75" customHeight="1">
      <c r="A483" s="252"/>
    </row>
    <row r="484" spans="1:1" ht="15.75" customHeight="1">
      <c r="A484" s="252"/>
    </row>
    <row r="485" spans="1:1" ht="15.75" customHeight="1">
      <c r="A485" s="252"/>
    </row>
    <row r="486" spans="1:1" ht="15.75" customHeight="1">
      <c r="A486" s="252"/>
    </row>
    <row r="487" spans="1:1" ht="15.75" customHeight="1">
      <c r="A487" s="252"/>
    </row>
    <row r="488" spans="1:1" ht="15.75" customHeight="1">
      <c r="A488" s="252"/>
    </row>
    <row r="489" spans="1:1" ht="15.75" customHeight="1">
      <c r="A489" s="252"/>
    </row>
    <row r="490" spans="1:1" ht="15.75" customHeight="1">
      <c r="A490" s="252"/>
    </row>
    <row r="491" spans="1:1" ht="15.75" customHeight="1">
      <c r="A491" s="252"/>
    </row>
    <row r="492" spans="1:1" ht="15.75" customHeight="1">
      <c r="A492" s="252"/>
    </row>
    <row r="493" spans="1:1" ht="15.75" customHeight="1">
      <c r="A493" s="252"/>
    </row>
    <row r="494" spans="1:1" ht="15.75" customHeight="1">
      <c r="A494" s="252"/>
    </row>
    <row r="495" spans="1:1" ht="15.75" customHeight="1">
      <c r="A495" s="252"/>
    </row>
    <row r="496" spans="1:1" ht="15.75" customHeight="1">
      <c r="A496" s="252"/>
    </row>
    <row r="497" spans="1:1" ht="15.75" customHeight="1">
      <c r="A497" s="252"/>
    </row>
    <row r="498" spans="1:1" ht="15.75" customHeight="1">
      <c r="A498" s="252"/>
    </row>
    <row r="499" spans="1:1" ht="15.75" customHeight="1">
      <c r="A499" s="252"/>
    </row>
    <row r="500" spans="1:1" ht="15.75" customHeight="1">
      <c r="A500" s="252"/>
    </row>
    <row r="501" spans="1:1" ht="15.75" customHeight="1">
      <c r="A501" s="252"/>
    </row>
    <row r="502" spans="1:1" ht="15.75" customHeight="1">
      <c r="A502" s="252"/>
    </row>
    <row r="503" spans="1:1" ht="15.75" customHeight="1">
      <c r="A503" s="252"/>
    </row>
    <row r="504" spans="1:1" ht="15.75" customHeight="1">
      <c r="A504" s="252"/>
    </row>
    <row r="505" spans="1:1" ht="15.75" customHeight="1">
      <c r="A505" s="252"/>
    </row>
    <row r="506" spans="1:1" ht="15.75" customHeight="1">
      <c r="A506" s="252"/>
    </row>
    <row r="507" spans="1:1" ht="15.75" customHeight="1">
      <c r="A507" s="252"/>
    </row>
    <row r="508" spans="1:1" ht="15.75" customHeight="1">
      <c r="A508" s="252"/>
    </row>
    <row r="509" spans="1:1" ht="15.75" customHeight="1">
      <c r="A509" s="252"/>
    </row>
    <row r="510" spans="1:1" ht="15.75" customHeight="1">
      <c r="A510" s="252"/>
    </row>
    <row r="511" spans="1:1" ht="15.75" customHeight="1">
      <c r="A511" s="252"/>
    </row>
    <row r="512" spans="1:1" ht="15.75" customHeight="1">
      <c r="A512" s="252"/>
    </row>
    <row r="513" spans="1:1" ht="15.75" customHeight="1">
      <c r="A513" s="252"/>
    </row>
    <row r="514" spans="1:1" ht="15.75" customHeight="1">
      <c r="A514" s="252"/>
    </row>
    <row r="515" spans="1:1" ht="15.75" customHeight="1">
      <c r="A515" s="252"/>
    </row>
    <row r="516" spans="1:1" ht="15.75" customHeight="1">
      <c r="A516" s="252"/>
    </row>
    <row r="517" spans="1:1" ht="15.75" customHeight="1">
      <c r="A517" s="252"/>
    </row>
    <row r="518" spans="1:1" ht="15.75" customHeight="1">
      <c r="A518" s="252"/>
    </row>
    <row r="519" spans="1:1" ht="15.75" customHeight="1">
      <c r="A519" s="252"/>
    </row>
    <row r="520" spans="1:1" ht="15.75" customHeight="1">
      <c r="A520" s="252"/>
    </row>
    <row r="521" spans="1:1" ht="15.75" customHeight="1">
      <c r="A521" s="252"/>
    </row>
    <row r="522" spans="1:1" ht="15.75" customHeight="1">
      <c r="A522" s="252"/>
    </row>
    <row r="523" spans="1:1" ht="15.75" customHeight="1">
      <c r="A523" s="252"/>
    </row>
    <row r="524" spans="1:1" ht="15.75" customHeight="1">
      <c r="A524" s="252"/>
    </row>
    <row r="525" spans="1:1" ht="15.75" customHeight="1">
      <c r="A525" s="252"/>
    </row>
    <row r="526" spans="1:1" ht="15.75" customHeight="1">
      <c r="A526" s="252"/>
    </row>
    <row r="527" spans="1:1" ht="15.75" customHeight="1">
      <c r="A527" s="252"/>
    </row>
    <row r="528" spans="1:1" ht="15.75" customHeight="1">
      <c r="A528" s="252"/>
    </row>
    <row r="529" spans="1:1" ht="15.75" customHeight="1">
      <c r="A529" s="252"/>
    </row>
    <row r="530" spans="1:1" ht="15.75" customHeight="1">
      <c r="A530" s="252"/>
    </row>
    <row r="531" spans="1:1" ht="15.75" customHeight="1">
      <c r="A531" s="252"/>
    </row>
    <row r="532" spans="1:1" ht="15.75" customHeight="1">
      <c r="A532" s="252"/>
    </row>
    <row r="533" spans="1:1" ht="15.75" customHeight="1">
      <c r="A533" s="252"/>
    </row>
    <row r="534" spans="1:1" ht="15.75" customHeight="1">
      <c r="A534" s="252"/>
    </row>
    <row r="535" spans="1:1" ht="15.75" customHeight="1">
      <c r="A535" s="252"/>
    </row>
    <row r="536" spans="1:1" ht="15.75" customHeight="1">
      <c r="A536" s="252"/>
    </row>
    <row r="537" spans="1:1" ht="15.75" customHeight="1">
      <c r="A537" s="252"/>
    </row>
    <row r="538" spans="1:1" ht="15.75" customHeight="1">
      <c r="A538" s="252"/>
    </row>
    <row r="539" spans="1:1" ht="15.75" customHeight="1">
      <c r="A539" s="252"/>
    </row>
    <row r="540" spans="1:1" ht="15.75" customHeight="1">
      <c r="A540" s="252"/>
    </row>
    <row r="541" spans="1:1" ht="15.75" customHeight="1">
      <c r="A541" s="252"/>
    </row>
    <row r="542" spans="1:1" ht="15.75" customHeight="1">
      <c r="A542" s="252"/>
    </row>
    <row r="543" spans="1:1" ht="15.75" customHeight="1">
      <c r="A543" s="252"/>
    </row>
    <row r="544" spans="1:1" ht="15.75" customHeight="1">
      <c r="A544" s="252"/>
    </row>
    <row r="545" spans="1:1" ht="15.75" customHeight="1">
      <c r="A545" s="252"/>
    </row>
    <row r="546" spans="1:1" ht="15.75" customHeight="1">
      <c r="A546" s="252"/>
    </row>
    <row r="547" spans="1:1" ht="15.75" customHeight="1">
      <c r="A547" s="252"/>
    </row>
    <row r="548" spans="1:1" ht="15.75" customHeight="1">
      <c r="A548" s="252"/>
    </row>
    <row r="549" spans="1:1" ht="15.75" customHeight="1">
      <c r="A549" s="252"/>
    </row>
    <row r="550" spans="1:1" ht="15.75" customHeight="1">
      <c r="A550" s="252"/>
    </row>
    <row r="551" spans="1:1" ht="15.75" customHeight="1">
      <c r="A551" s="252"/>
    </row>
    <row r="552" spans="1:1" ht="15.75" customHeight="1">
      <c r="A552" s="252"/>
    </row>
    <row r="553" spans="1:1" ht="15.75" customHeight="1">
      <c r="A553" s="252"/>
    </row>
    <row r="554" spans="1:1" ht="15.75" customHeight="1">
      <c r="A554" s="252"/>
    </row>
    <row r="555" spans="1:1" ht="15.75" customHeight="1">
      <c r="A555" s="252"/>
    </row>
    <row r="556" spans="1:1" ht="15.75" customHeight="1">
      <c r="A556" s="252"/>
    </row>
    <row r="557" spans="1:1" ht="15.75" customHeight="1">
      <c r="A557" s="252"/>
    </row>
    <row r="558" spans="1:1" ht="15.75" customHeight="1">
      <c r="A558" s="252"/>
    </row>
    <row r="559" spans="1:1" ht="15.75" customHeight="1">
      <c r="A559" s="252"/>
    </row>
    <row r="560" spans="1:1" ht="15.75" customHeight="1">
      <c r="A560" s="252"/>
    </row>
    <row r="561" spans="1:1" ht="15.75" customHeight="1">
      <c r="A561" s="252"/>
    </row>
    <row r="562" spans="1:1" ht="15.75" customHeight="1">
      <c r="A562" s="252"/>
    </row>
    <row r="563" spans="1:1" ht="15.75" customHeight="1">
      <c r="A563" s="252"/>
    </row>
    <row r="564" spans="1:1" ht="15.75" customHeight="1">
      <c r="A564" s="252"/>
    </row>
    <row r="565" spans="1:1" ht="15.75" customHeight="1">
      <c r="A565" s="252"/>
    </row>
    <row r="566" spans="1:1" ht="15.75" customHeight="1">
      <c r="A566" s="252"/>
    </row>
    <row r="567" spans="1:1" ht="15.75" customHeight="1">
      <c r="A567" s="252"/>
    </row>
    <row r="568" spans="1:1" ht="15.75" customHeight="1">
      <c r="A568" s="252"/>
    </row>
    <row r="569" spans="1:1" ht="15.75" customHeight="1">
      <c r="A569" s="252"/>
    </row>
    <row r="570" spans="1:1" ht="15.75" customHeight="1">
      <c r="A570" s="252"/>
    </row>
    <row r="571" spans="1:1" ht="15.75" customHeight="1">
      <c r="A571" s="252"/>
    </row>
    <row r="572" spans="1:1" ht="15.75" customHeight="1">
      <c r="A572" s="252"/>
    </row>
    <row r="573" spans="1:1" ht="15.75" customHeight="1">
      <c r="A573" s="252"/>
    </row>
    <row r="574" spans="1:1" ht="15.75" customHeight="1">
      <c r="A574" s="252"/>
    </row>
    <row r="575" spans="1:1" ht="15.75" customHeight="1">
      <c r="A575" s="252"/>
    </row>
    <row r="576" spans="1:1" ht="15.75" customHeight="1">
      <c r="A576" s="252"/>
    </row>
    <row r="577" spans="1:1" ht="15.75" customHeight="1">
      <c r="A577" s="252"/>
    </row>
    <row r="578" spans="1:1" ht="15.75" customHeight="1">
      <c r="A578" s="252"/>
    </row>
    <row r="579" spans="1:1" ht="15.75" customHeight="1">
      <c r="A579" s="252"/>
    </row>
    <row r="580" spans="1:1" ht="15.75" customHeight="1">
      <c r="A580" s="252"/>
    </row>
    <row r="581" spans="1:1" ht="15.75" customHeight="1">
      <c r="A581" s="252"/>
    </row>
    <row r="582" spans="1:1" ht="15.75" customHeight="1">
      <c r="A582" s="252"/>
    </row>
    <row r="583" spans="1:1" ht="15.75" customHeight="1">
      <c r="A583" s="252"/>
    </row>
    <row r="584" spans="1:1" ht="15.75" customHeight="1">
      <c r="A584" s="252"/>
    </row>
    <row r="585" spans="1:1" ht="15.75" customHeight="1">
      <c r="A585" s="252"/>
    </row>
    <row r="586" spans="1:1" ht="15.75" customHeight="1">
      <c r="A586" s="252"/>
    </row>
    <row r="587" spans="1:1" ht="15.75" customHeight="1">
      <c r="A587" s="252"/>
    </row>
    <row r="588" spans="1:1" ht="15.75" customHeight="1">
      <c r="A588" s="252"/>
    </row>
    <row r="589" spans="1:1" ht="15.75" customHeight="1">
      <c r="A589" s="252"/>
    </row>
    <row r="590" spans="1:1" ht="15.75" customHeight="1">
      <c r="A590" s="252"/>
    </row>
    <row r="591" spans="1:1" ht="15.75" customHeight="1">
      <c r="A591" s="252"/>
    </row>
    <row r="592" spans="1:1" ht="15.75" customHeight="1">
      <c r="A592" s="252"/>
    </row>
    <row r="593" spans="1:1" ht="15.75" customHeight="1">
      <c r="A593" s="252"/>
    </row>
    <row r="594" spans="1:1" ht="15.75" customHeight="1">
      <c r="A594" s="252"/>
    </row>
    <row r="595" spans="1:1" ht="15.75" customHeight="1">
      <c r="A595" s="252"/>
    </row>
    <row r="596" spans="1:1" ht="15.75" customHeight="1">
      <c r="A596" s="252"/>
    </row>
    <row r="597" spans="1:1" ht="15.75" customHeight="1">
      <c r="A597" s="252"/>
    </row>
    <row r="598" spans="1:1" ht="15.75" customHeight="1">
      <c r="A598" s="252"/>
    </row>
    <row r="599" spans="1:1" ht="15.75" customHeight="1">
      <c r="A599" s="252"/>
    </row>
    <row r="600" spans="1:1" ht="15.75" customHeight="1">
      <c r="A600" s="252"/>
    </row>
    <row r="601" spans="1:1" ht="15.75" customHeight="1">
      <c r="A601" s="252"/>
    </row>
    <row r="602" spans="1:1" ht="15.75" customHeight="1">
      <c r="A602" s="252"/>
    </row>
    <row r="603" spans="1:1" ht="15.75" customHeight="1">
      <c r="A603" s="252"/>
    </row>
    <row r="604" spans="1:1" ht="15.75" customHeight="1">
      <c r="A604" s="252"/>
    </row>
    <row r="605" spans="1:1" ht="15.75" customHeight="1">
      <c r="A605" s="252"/>
    </row>
    <row r="606" spans="1:1" ht="15.75" customHeight="1">
      <c r="A606" s="252"/>
    </row>
    <row r="607" spans="1:1" ht="15.75" customHeight="1">
      <c r="A607" s="252"/>
    </row>
    <row r="608" spans="1:1" ht="15.75" customHeight="1">
      <c r="A608" s="252"/>
    </row>
    <row r="609" spans="1:1" ht="15.75" customHeight="1">
      <c r="A609" s="252"/>
    </row>
    <row r="610" spans="1:1" ht="15.75" customHeight="1">
      <c r="A610" s="252"/>
    </row>
    <row r="611" spans="1:1" ht="15.75" customHeight="1">
      <c r="A611" s="252"/>
    </row>
    <row r="612" spans="1:1" ht="15.75" customHeight="1">
      <c r="A612" s="252"/>
    </row>
    <row r="613" spans="1:1" ht="15.75" customHeight="1">
      <c r="A613" s="252"/>
    </row>
    <row r="614" spans="1:1" ht="15.75" customHeight="1">
      <c r="A614" s="252"/>
    </row>
    <row r="615" spans="1:1" ht="15.75" customHeight="1">
      <c r="A615" s="252"/>
    </row>
    <row r="616" spans="1:1" ht="15.75" customHeight="1">
      <c r="A616" s="252"/>
    </row>
    <row r="617" spans="1:1" ht="15.75" customHeight="1">
      <c r="A617" s="252"/>
    </row>
    <row r="618" spans="1:1" ht="15.75" customHeight="1">
      <c r="A618" s="252"/>
    </row>
    <row r="619" spans="1:1" ht="15.75" customHeight="1">
      <c r="A619" s="252"/>
    </row>
    <row r="620" spans="1:1" ht="15.75" customHeight="1">
      <c r="A620" s="252"/>
    </row>
    <row r="621" spans="1:1" ht="15.75" customHeight="1">
      <c r="A621" s="252"/>
    </row>
    <row r="622" spans="1:1" ht="15.75" customHeight="1">
      <c r="A622" s="252"/>
    </row>
    <row r="623" spans="1:1" ht="15.75" customHeight="1">
      <c r="A623" s="252"/>
    </row>
    <row r="624" spans="1:1" ht="15.75" customHeight="1">
      <c r="A624" s="252"/>
    </row>
    <row r="625" spans="1:1" ht="15.75" customHeight="1">
      <c r="A625" s="252"/>
    </row>
    <row r="626" spans="1:1" ht="15.75" customHeight="1">
      <c r="A626" s="252"/>
    </row>
    <row r="627" spans="1:1" ht="15.75" customHeight="1">
      <c r="A627" s="252"/>
    </row>
    <row r="628" spans="1:1" ht="15.75" customHeight="1">
      <c r="A628" s="252"/>
    </row>
    <row r="629" spans="1:1" ht="15.75" customHeight="1">
      <c r="A629" s="252"/>
    </row>
    <row r="630" spans="1:1" ht="15.75" customHeight="1">
      <c r="A630" s="252"/>
    </row>
    <row r="631" spans="1:1" ht="15.75" customHeight="1">
      <c r="A631" s="252"/>
    </row>
    <row r="632" spans="1:1" ht="15.75" customHeight="1">
      <c r="A632" s="252"/>
    </row>
    <row r="633" spans="1:1" ht="15.75" customHeight="1">
      <c r="A633" s="252"/>
    </row>
    <row r="634" spans="1:1" ht="15.75" customHeight="1">
      <c r="A634" s="252"/>
    </row>
    <row r="635" spans="1:1" ht="15.75" customHeight="1">
      <c r="A635" s="252"/>
    </row>
    <row r="636" spans="1:1" ht="15.75" customHeight="1">
      <c r="A636" s="252"/>
    </row>
    <row r="637" spans="1:1" ht="15.75" customHeight="1">
      <c r="A637" s="252"/>
    </row>
    <row r="638" spans="1:1" ht="15.75" customHeight="1">
      <c r="A638" s="252"/>
    </row>
    <row r="639" spans="1:1" ht="15.75" customHeight="1">
      <c r="A639" s="252"/>
    </row>
    <row r="640" spans="1:1" ht="15.75" customHeight="1">
      <c r="A640" s="252"/>
    </row>
    <row r="641" spans="1:1" ht="15.75" customHeight="1">
      <c r="A641" s="252"/>
    </row>
    <row r="642" spans="1:1" ht="15.75" customHeight="1">
      <c r="A642" s="252"/>
    </row>
    <row r="643" spans="1:1" ht="15.75" customHeight="1">
      <c r="A643" s="252"/>
    </row>
    <row r="644" spans="1:1" ht="15.75" customHeight="1">
      <c r="A644" s="252"/>
    </row>
    <row r="645" spans="1:1" ht="15.75" customHeight="1">
      <c r="A645" s="252"/>
    </row>
    <row r="646" spans="1:1" ht="15.75" customHeight="1">
      <c r="A646" s="252"/>
    </row>
    <row r="647" spans="1:1" ht="15.75" customHeight="1">
      <c r="A647" s="252"/>
    </row>
    <row r="648" spans="1:1" ht="15.75" customHeight="1">
      <c r="A648" s="252"/>
    </row>
    <row r="649" spans="1:1" ht="15.75" customHeight="1">
      <c r="A649" s="252"/>
    </row>
    <row r="650" spans="1:1" ht="15.75" customHeight="1">
      <c r="A650" s="252"/>
    </row>
    <row r="651" spans="1:1" ht="15.75" customHeight="1">
      <c r="A651" s="252"/>
    </row>
    <row r="652" spans="1:1" ht="15.75" customHeight="1">
      <c r="A652" s="252"/>
    </row>
    <row r="653" spans="1:1" ht="15.75" customHeight="1">
      <c r="A653" s="252"/>
    </row>
    <row r="654" spans="1:1" ht="15.75" customHeight="1">
      <c r="A654" s="252"/>
    </row>
    <row r="655" spans="1:1" ht="15.75" customHeight="1">
      <c r="A655" s="252"/>
    </row>
    <row r="656" spans="1:1" ht="15.75" customHeight="1">
      <c r="A656" s="252"/>
    </row>
    <row r="657" spans="1:1" ht="15.75" customHeight="1">
      <c r="A657" s="252"/>
    </row>
    <row r="658" spans="1:1" ht="15.75" customHeight="1">
      <c r="A658" s="252"/>
    </row>
    <row r="659" spans="1:1" ht="15.75" customHeight="1">
      <c r="A659" s="252"/>
    </row>
    <row r="660" spans="1:1" ht="15.75" customHeight="1">
      <c r="A660" s="252"/>
    </row>
    <row r="661" spans="1:1" ht="15.75" customHeight="1">
      <c r="A661" s="252"/>
    </row>
    <row r="662" spans="1:1" ht="15.75" customHeight="1">
      <c r="A662" s="252"/>
    </row>
    <row r="663" spans="1:1" ht="15.75" customHeight="1">
      <c r="A663" s="252"/>
    </row>
    <row r="664" spans="1:1" ht="15.75" customHeight="1">
      <c r="A664" s="252"/>
    </row>
    <row r="665" spans="1:1" ht="15.75" customHeight="1">
      <c r="A665" s="252"/>
    </row>
    <row r="666" spans="1:1" ht="15.75" customHeight="1">
      <c r="A666" s="252"/>
    </row>
    <row r="667" spans="1:1" ht="15.75" customHeight="1">
      <c r="A667" s="252"/>
    </row>
    <row r="668" spans="1:1" ht="15.75" customHeight="1">
      <c r="A668" s="252"/>
    </row>
    <row r="669" spans="1:1" ht="15.75" customHeight="1">
      <c r="A669" s="252"/>
    </row>
    <row r="670" spans="1:1" ht="15.75" customHeight="1">
      <c r="A670" s="252"/>
    </row>
    <row r="671" spans="1:1" ht="15.75" customHeight="1">
      <c r="A671" s="252"/>
    </row>
    <row r="672" spans="1:1" ht="15.75" customHeight="1">
      <c r="A672" s="252"/>
    </row>
    <row r="673" spans="1:1" ht="15.75" customHeight="1">
      <c r="A673" s="252"/>
    </row>
    <row r="674" spans="1:1" ht="15.75" customHeight="1">
      <c r="A674" s="252"/>
    </row>
    <row r="675" spans="1:1" ht="15.75" customHeight="1">
      <c r="A675" s="252"/>
    </row>
    <row r="676" spans="1:1" ht="15.75" customHeight="1">
      <c r="A676" s="252"/>
    </row>
    <row r="677" spans="1:1" ht="15.75" customHeight="1">
      <c r="A677" s="252"/>
    </row>
    <row r="678" spans="1:1" ht="15.75" customHeight="1">
      <c r="A678" s="252"/>
    </row>
    <row r="679" spans="1:1" ht="15.75" customHeight="1">
      <c r="A679" s="252"/>
    </row>
    <row r="680" spans="1:1" ht="15.75" customHeight="1">
      <c r="A680" s="252"/>
    </row>
    <row r="681" spans="1:1" ht="15.75" customHeight="1">
      <c r="A681" s="252"/>
    </row>
    <row r="682" spans="1:1" ht="15.75" customHeight="1">
      <c r="A682" s="252"/>
    </row>
    <row r="683" spans="1:1" ht="15.75" customHeight="1">
      <c r="A683" s="252"/>
    </row>
    <row r="684" spans="1:1" ht="15.75" customHeight="1">
      <c r="A684" s="252"/>
    </row>
    <row r="685" spans="1:1" ht="15.75" customHeight="1">
      <c r="A685" s="252"/>
    </row>
    <row r="686" spans="1:1" ht="15.75" customHeight="1">
      <c r="A686" s="252"/>
    </row>
    <row r="687" spans="1:1" ht="15.75" customHeight="1">
      <c r="A687" s="252"/>
    </row>
    <row r="688" spans="1:1" ht="15.75" customHeight="1">
      <c r="A688" s="252"/>
    </row>
    <row r="689" spans="1:1" ht="15.75" customHeight="1">
      <c r="A689" s="252"/>
    </row>
    <row r="690" spans="1:1" ht="15.75" customHeight="1">
      <c r="A690" s="252"/>
    </row>
    <row r="691" spans="1:1" ht="15.75" customHeight="1">
      <c r="A691" s="252"/>
    </row>
    <row r="692" spans="1:1" ht="15.75" customHeight="1">
      <c r="A692" s="252"/>
    </row>
    <row r="693" spans="1:1" ht="15.75" customHeight="1">
      <c r="A693" s="252"/>
    </row>
    <row r="694" spans="1:1" ht="15.75" customHeight="1">
      <c r="A694" s="252"/>
    </row>
    <row r="695" spans="1:1" ht="15.75" customHeight="1">
      <c r="A695" s="252"/>
    </row>
    <row r="696" spans="1:1" ht="15.75" customHeight="1">
      <c r="A696" s="252"/>
    </row>
    <row r="697" spans="1:1" ht="15.75" customHeight="1">
      <c r="A697" s="252"/>
    </row>
    <row r="698" spans="1:1" ht="15.75" customHeight="1">
      <c r="A698" s="252"/>
    </row>
    <row r="699" spans="1:1" ht="15.75" customHeight="1">
      <c r="A699" s="252"/>
    </row>
    <row r="700" spans="1:1" ht="15.75" customHeight="1">
      <c r="A700" s="252"/>
    </row>
    <row r="701" spans="1:1" ht="15.75" customHeight="1">
      <c r="A701" s="252"/>
    </row>
    <row r="702" spans="1:1" ht="15.75" customHeight="1">
      <c r="A702" s="252"/>
    </row>
    <row r="703" spans="1:1" ht="15.75" customHeight="1">
      <c r="A703" s="252"/>
    </row>
    <row r="704" spans="1:1" ht="15.75" customHeight="1">
      <c r="A704" s="252"/>
    </row>
    <row r="705" spans="1:1" ht="15.75" customHeight="1">
      <c r="A705" s="252"/>
    </row>
    <row r="706" spans="1:1" ht="15.75" customHeight="1">
      <c r="A706" s="252"/>
    </row>
    <row r="707" spans="1:1" ht="15.75" customHeight="1">
      <c r="A707" s="252"/>
    </row>
    <row r="708" spans="1:1" ht="15.75" customHeight="1">
      <c r="A708" s="252"/>
    </row>
    <row r="709" spans="1:1" ht="15.75" customHeight="1">
      <c r="A709" s="252"/>
    </row>
    <row r="710" spans="1:1" ht="15.75" customHeight="1">
      <c r="A710" s="252"/>
    </row>
    <row r="711" spans="1:1" ht="15.75" customHeight="1">
      <c r="A711" s="252"/>
    </row>
    <row r="712" spans="1:1" ht="15.75" customHeight="1">
      <c r="A712" s="252"/>
    </row>
    <row r="713" spans="1:1" ht="15.75" customHeight="1">
      <c r="A713" s="252"/>
    </row>
    <row r="714" spans="1:1" ht="15.75" customHeight="1">
      <c r="A714" s="252"/>
    </row>
    <row r="715" spans="1:1" ht="15.75" customHeight="1">
      <c r="A715" s="252"/>
    </row>
    <row r="716" spans="1:1" ht="15.75" customHeight="1">
      <c r="A716" s="252"/>
    </row>
    <row r="717" spans="1:1" ht="15.75" customHeight="1">
      <c r="A717" s="252"/>
    </row>
    <row r="718" spans="1:1" ht="15.75" customHeight="1">
      <c r="A718" s="252"/>
    </row>
    <row r="719" spans="1:1" ht="15.75" customHeight="1">
      <c r="A719" s="252"/>
    </row>
    <row r="720" spans="1:1" ht="15.75" customHeight="1">
      <c r="A720" s="252"/>
    </row>
    <row r="721" spans="1:1" ht="15.75" customHeight="1">
      <c r="A721" s="252"/>
    </row>
    <row r="722" spans="1:1" ht="15.75" customHeight="1">
      <c r="A722" s="252"/>
    </row>
    <row r="723" spans="1:1" ht="15.75" customHeight="1">
      <c r="A723" s="252"/>
    </row>
    <row r="724" spans="1:1" ht="15.75" customHeight="1">
      <c r="A724" s="252"/>
    </row>
    <row r="725" spans="1:1" ht="15.75" customHeight="1">
      <c r="A725" s="252"/>
    </row>
    <row r="726" spans="1:1" ht="15.75" customHeight="1">
      <c r="A726" s="252"/>
    </row>
    <row r="727" spans="1:1" ht="15.75" customHeight="1">
      <c r="A727" s="252"/>
    </row>
    <row r="728" spans="1:1" ht="15.75" customHeight="1">
      <c r="A728" s="252"/>
    </row>
    <row r="729" spans="1:1" ht="15.75" customHeight="1">
      <c r="A729" s="252"/>
    </row>
    <row r="730" spans="1:1" ht="15.75" customHeight="1">
      <c r="A730" s="252"/>
    </row>
    <row r="731" spans="1:1" ht="15.75" customHeight="1">
      <c r="A731" s="252"/>
    </row>
    <row r="732" spans="1:1" ht="15.75" customHeight="1">
      <c r="A732" s="252"/>
    </row>
    <row r="733" spans="1:1" ht="15.75" customHeight="1">
      <c r="A733" s="252"/>
    </row>
    <row r="734" spans="1:1" ht="15.75" customHeight="1">
      <c r="A734" s="252"/>
    </row>
    <row r="735" spans="1:1" ht="15.75" customHeight="1">
      <c r="A735" s="252"/>
    </row>
    <row r="736" spans="1:1" ht="15.75" customHeight="1">
      <c r="A736" s="252"/>
    </row>
    <row r="737" spans="1:1" ht="15.75" customHeight="1">
      <c r="A737" s="252"/>
    </row>
    <row r="738" spans="1:1" ht="15.75" customHeight="1">
      <c r="A738" s="252"/>
    </row>
    <row r="739" spans="1:1" ht="15.75" customHeight="1">
      <c r="A739" s="252"/>
    </row>
    <row r="740" spans="1:1" ht="15.75" customHeight="1">
      <c r="A740" s="252"/>
    </row>
    <row r="741" spans="1:1" ht="15.75" customHeight="1">
      <c r="A741" s="252"/>
    </row>
    <row r="742" spans="1:1" ht="15.75" customHeight="1">
      <c r="A742" s="252"/>
    </row>
    <row r="743" spans="1:1" ht="15.75" customHeight="1">
      <c r="A743" s="252"/>
    </row>
    <row r="744" spans="1:1" ht="15.75" customHeight="1">
      <c r="A744" s="252"/>
    </row>
    <row r="745" spans="1:1" ht="15.75" customHeight="1">
      <c r="A745" s="252"/>
    </row>
    <row r="746" spans="1:1" ht="15.75" customHeight="1">
      <c r="A746" s="252"/>
    </row>
    <row r="747" spans="1:1" ht="15.75" customHeight="1">
      <c r="A747" s="252"/>
    </row>
    <row r="748" spans="1:1" ht="15.75" customHeight="1">
      <c r="A748" s="252"/>
    </row>
    <row r="749" spans="1:1" ht="15.75" customHeight="1">
      <c r="A749" s="252"/>
    </row>
    <row r="750" spans="1:1" ht="15.75" customHeight="1">
      <c r="A750" s="252"/>
    </row>
    <row r="751" spans="1:1" ht="15.75" customHeight="1">
      <c r="A751" s="252"/>
    </row>
    <row r="752" spans="1:1" ht="15.75" customHeight="1">
      <c r="A752" s="252"/>
    </row>
    <row r="753" spans="1:1" ht="15.75" customHeight="1">
      <c r="A753" s="252"/>
    </row>
    <row r="754" spans="1:1" ht="15.75" customHeight="1">
      <c r="A754" s="252"/>
    </row>
    <row r="755" spans="1:1" ht="15.75" customHeight="1">
      <c r="A755" s="252"/>
    </row>
    <row r="756" spans="1:1" ht="15.75" customHeight="1">
      <c r="A756" s="252"/>
    </row>
    <row r="757" spans="1:1" ht="15.75" customHeight="1">
      <c r="A757" s="252"/>
    </row>
    <row r="758" spans="1:1" ht="15.75" customHeight="1">
      <c r="A758" s="252"/>
    </row>
    <row r="759" spans="1:1" ht="15.75" customHeight="1">
      <c r="A759" s="252"/>
    </row>
    <row r="760" spans="1:1" ht="15.75" customHeight="1">
      <c r="A760" s="252"/>
    </row>
    <row r="761" spans="1:1" ht="15.75" customHeight="1">
      <c r="A761" s="252"/>
    </row>
    <row r="762" spans="1:1" ht="15.75" customHeight="1">
      <c r="A762" s="252"/>
    </row>
    <row r="763" spans="1:1" ht="15.75" customHeight="1">
      <c r="A763" s="252"/>
    </row>
    <row r="764" spans="1:1" ht="15.75" customHeight="1">
      <c r="A764" s="252"/>
    </row>
    <row r="765" spans="1:1" ht="15.75" customHeight="1">
      <c r="A765" s="252"/>
    </row>
    <row r="766" spans="1:1" ht="15.75" customHeight="1">
      <c r="A766" s="252"/>
    </row>
    <row r="767" spans="1:1" ht="15.75" customHeight="1">
      <c r="A767" s="252"/>
    </row>
    <row r="768" spans="1:1" ht="15.75" customHeight="1">
      <c r="A768" s="252"/>
    </row>
    <row r="769" spans="1:1" ht="15.75" customHeight="1">
      <c r="A769" s="252"/>
    </row>
    <row r="770" spans="1:1" ht="15.75" customHeight="1">
      <c r="A770" s="252"/>
    </row>
    <row r="771" spans="1:1" ht="15.75" customHeight="1">
      <c r="A771" s="252"/>
    </row>
    <row r="772" spans="1:1" ht="15.75" customHeight="1">
      <c r="A772" s="252"/>
    </row>
    <row r="773" spans="1:1" ht="15.75" customHeight="1">
      <c r="A773" s="252"/>
    </row>
    <row r="774" spans="1:1" ht="15.75" customHeight="1">
      <c r="A774" s="252"/>
    </row>
    <row r="775" spans="1:1" ht="15.75" customHeight="1">
      <c r="A775" s="252"/>
    </row>
    <row r="776" spans="1:1" ht="15.75" customHeight="1">
      <c r="A776" s="252"/>
    </row>
    <row r="777" spans="1:1" ht="15.75" customHeight="1">
      <c r="A777" s="252"/>
    </row>
    <row r="778" spans="1:1" ht="15.75" customHeight="1">
      <c r="A778" s="252"/>
    </row>
    <row r="779" spans="1:1" ht="15.75" customHeight="1">
      <c r="A779" s="252"/>
    </row>
    <row r="780" spans="1:1" ht="15.75" customHeight="1">
      <c r="A780" s="252"/>
    </row>
    <row r="781" spans="1:1" ht="15.75" customHeight="1">
      <c r="A781" s="252"/>
    </row>
    <row r="782" spans="1:1" ht="15.75" customHeight="1">
      <c r="A782" s="252"/>
    </row>
    <row r="783" spans="1:1" ht="15.75" customHeight="1">
      <c r="A783" s="252"/>
    </row>
    <row r="784" spans="1:1" ht="15.75" customHeight="1">
      <c r="A784" s="252"/>
    </row>
    <row r="785" spans="1:1" ht="15.75" customHeight="1">
      <c r="A785" s="252"/>
    </row>
    <row r="786" spans="1:1" ht="15.75" customHeight="1">
      <c r="A786" s="252"/>
    </row>
    <row r="787" spans="1:1" ht="15.75" customHeight="1">
      <c r="A787" s="252"/>
    </row>
    <row r="788" spans="1:1" ht="15.75" customHeight="1">
      <c r="A788" s="252"/>
    </row>
    <row r="789" spans="1:1" ht="15.75" customHeight="1">
      <c r="A789" s="252"/>
    </row>
    <row r="790" spans="1:1" ht="15.75" customHeight="1">
      <c r="A790" s="252"/>
    </row>
    <row r="791" spans="1:1" ht="15.75" customHeight="1">
      <c r="A791" s="252"/>
    </row>
    <row r="792" spans="1:1" ht="15.75" customHeight="1">
      <c r="A792" s="252"/>
    </row>
    <row r="793" spans="1:1" ht="15.75" customHeight="1">
      <c r="A793" s="252"/>
    </row>
    <row r="794" spans="1:1" ht="15.75" customHeight="1">
      <c r="A794" s="252"/>
    </row>
    <row r="795" spans="1:1" ht="15.75" customHeight="1">
      <c r="A795" s="252"/>
    </row>
    <row r="796" spans="1:1" ht="15.75" customHeight="1">
      <c r="A796" s="252"/>
    </row>
    <row r="797" spans="1:1" ht="15.75" customHeight="1">
      <c r="A797" s="252"/>
    </row>
    <row r="798" spans="1:1" ht="15.75" customHeight="1">
      <c r="A798" s="252"/>
    </row>
    <row r="799" spans="1:1" ht="15.75" customHeight="1">
      <c r="A799" s="252"/>
    </row>
    <row r="800" spans="1:1" ht="15.75" customHeight="1">
      <c r="A800" s="252"/>
    </row>
    <row r="801" spans="1:1" ht="15.75" customHeight="1">
      <c r="A801" s="252"/>
    </row>
    <row r="802" spans="1:1" ht="15.75" customHeight="1">
      <c r="A802" s="252"/>
    </row>
    <row r="803" spans="1:1" ht="15.75" customHeight="1">
      <c r="A803" s="252"/>
    </row>
    <row r="804" spans="1:1" ht="15.75" customHeight="1">
      <c r="A804" s="252"/>
    </row>
    <row r="805" spans="1:1" ht="15.75" customHeight="1">
      <c r="A805" s="252"/>
    </row>
    <row r="806" spans="1:1" ht="15.75" customHeight="1">
      <c r="A806" s="252"/>
    </row>
    <row r="807" spans="1:1" ht="15.75" customHeight="1">
      <c r="A807" s="252"/>
    </row>
    <row r="808" spans="1:1" ht="15.75" customHeight="1">
      <c r="A808" s="252"/>
    </row>
    <row r="809" spans="1:1" ht="15.75" customHeight="1">
      <c r="A809" s="252"/>
    </row>
    <row r="810" spans="1:1" ht="15.75" customHeight="1">
      <c r="A810" s="252"/>
    </row>
    <row r="811" spans="1:1" ht="15.75" customHeight="1">
      <c r="A811" s="252"/>
    </row>
    <row r="812" spans="1:1" ht="15.75" customHeight="1">
      <c r="A812" s="252"/>
    </row>
    <row r="813" spans="1:1" ht="15.75" customHeight="1">
      <c r="A813" s="252"/>
    </row>
    <row r="814" spans="1:1" ht="15.75" customHeight="1">
      <c r="A814" s="252"/>
    </row>
    <row r="815" spans="1:1" ht="15.75" customHeight="1">
      <c r="A815" s="252"/>
    </row>
    <row r="816" spans="1:1" ht="15.75" customHeight="1">
      <c r="A816" s="252"/>
    </row>
    <row r="817" spans="1:1" ht="15.75" customHeight="1">
      <c r="A817" s="252"/>
    </row>
    <row r="818" spans="1:1" ht="15.75" customHeight="1">
      <c r="A818" s="252"/>
    </row>
    <row r="819" spans="1:1" ht="15.75" customHeight="1">
      <c r="A819" s="252"/>
    </row>
    <row r="820" spans="1:1" ht="15.75" customHeight="1">
      <c r="A820" s="252"/>
    </row>
    <row r="821" spans="1:1" ht="15.75" customHeight="1">
      <c r="A821" s="252"/>
    </row>
    <row r="822" spans="1:1" ht="15.75" customHeight="1">
      <c r="A822" s="252"/>
    </row>
    <row r="823" spans="1:1" ht="15.75" customHeight="1">
      <c r="A823" s="252"/>
    </row>
    <row r="824" spans="1:1" ht="15.75" customHeight="1">
      <c r="A824" s="252"/>
    </row>
    <row r="825" spans="1:1" ht="15.75" customHeight="1">
      <c r="A825" s="252"/>
    </row>
    <row r="826" spans="1:1" ht="15.75" customHeight="1">
      <c r="A826" s="252"/>
    </row>
    <row r="827" spans="1:1" ht="15.75" customHeight="1">
      <c r="A827" s="252"/>
    </row>
    <row r="828" spans="1:1" ht="15.75" customHeight="1">
      <c r="A828" s="252"/>
    </row>
    <row r="829" spans="1:1" ht="15.75" customHeight="1">
      <c r="A829" s="252"/>
    </row>
    <row r="830" spans="1:1" ht="15.75" customHeight="1">
      <c r="A830" s="252"/>
    </row>
    <row r="831" spans="1:1" ht="15.75" customHeight="1">
      <c r="A831" s="252"/>
    </row>
    <row r="832" spans="1:1" ht="15.75" customHeight="1">
      <c r="A832" s="252"/>
    </row>
    <row r="833" spans="1:1" ht="15.75" customHeight="1">
      <c r="A833" s="252"/>
    </row>
    <row r="834" spans="1:1" ht="15.75" customHeight="1">
      <c r="A834" s="252"/>
    </row>
    <row r="835" spans="1:1" ht="15.75" customHeight="1">
      <c r="A835" s="252"/>
    </row>
    <row r="836" spans="1:1" ht="15.75" customHeight="1">
      <c r="A836" s="252"/>
    </row>
    <row r="837" spans="1:1" ht="15.75" customHeight="1">
      <c r="A837" s="252"/>
    </row>
    <row r="838" spans="1:1" ht="15.75" customHeight="1">
      <c r="A838" s="252"/>
    </row>
    <row r="839" spans="1:1" ht="15.75" customHeight="1">
      <c r="A839" s="252"/>
    </row>
    <row r="840" spans="1:1" ht="15.75" customHeight="1">
      <c r="A840" s="252"/>
    </row>
    <row r="841" spans="1:1" ht="15.75" customHeight="1">
      <c r="A841" s="252"/>
    </row>
    <row r="842" spans="1:1" ht="15.75" customHeight="1">
      <c r="A842" s="252"/>
    </row>
    <row r="843" spans="1:1" ht="15.75" customHeight="1">
      <c r="A843" s="252"/>
    </row>
    <row r="844" spans="1:1" ht="15.75" customHeight="1">
      <c r="A844" s="252"/>
    </row>
    <row r="845" spans="1:1" ht="15.75" customHeight="1">
      <c r="A845" s="252"/>
    </row>
    <row r="846" spans="1:1" ht="15.75" customHeight="1">
      <c r="A846" s="252"/>
    </row>
    <row r="847" spans="1:1" ht="15.75" customHeight="1">
      <c r="A847" s="252"/>
    </row>
    <row r="848" spans="1:1" ht="15.75" customHeight="1">
      <c r="A848" s="252"/>
    </row>
    <row r="849" spans="1:1" ht="15.75" customHeight="1">
      <c r="A849" s="252"/>
    </row>
    <row r="850" spans="1:1" ht="15.75" customHeight="1">
      <c r="A850" s="252"/>
    </row>
    <row r="851" spans="1:1" ht="15.75" customHeight="1">
      <c r="A851" s="252"/>
    </row>
    <row r="852" spans="1:1" ht="15.75" customHeight="1">
      <c r="A852" s="252"/>
    </row>
    <row r="853" spans="1:1" ht="15.75" customHeight="1">
      <c r="A853" s="252"/>
    </row>
    <row r="854" spans="1:1" ht="15.75" customHeight="1">
      <c r="A854" s="252"/>
    </row>
    <row r="855" spans="1:1" ht="15.75" customHeight="1">
      <c r="A855" s="252"/>
    </row>
    <row r="856" spans="1:1" ht="15.75" customHeight="1">
      <c r="A856" s="252"/>
    </row>
    <row r="857" spans="1:1" ht="15.75" customHeight="1">
      <c r="A857" s="252"/>
    </row>
    <row r="858" spans="1:1" ht="15.75" customHeight="1">
      <c r="A858" s="252"/>
    </row>
    <row r="859" spans="1:1" ht="15.75" customHeight="1">
      <c r="A859" s="252"/>
    </row>
    <row r="860" spans="1:1" ht="15.75" customHeight="1">
      <c r="A860" s="252"/>
    </row>
    <row r="861" spans="1:1" ht="15.75" customHeight="1">
      <c r="A861" s="252"/>
    </row>
    <row r="862" spans="1:1" ht="15.75" customHeight="1">
      <c r="A862" s="252"/>
    </row>
    <row r="863" spans="1:1" ht="15.75" customHeight="1">
      <c r="A863" s="252"/>
    </row>
    <row r="864" spans="1:1" ht="15.75" customHeight="1">
      <c r="A864" s="252"/>
    </row>
    <row r="865" spans="1:1" ht="15.75" customHeight="1">
      <c r="A865" s="252"/>
    </row>
    <row r="866" spans="1:1" ht="15.75" customHeight="1">
      <c r="A866" s="252"/>
    </row>
    <row r="867" spans="1:1" ht="15.75" customHeight="1">
      <c r="A867" s="252"/>
    </row>
    <row r="868" spans="1:1" ht="15.75" customHeight="1">
      <c r="A868" s="252"/>
    </row>
    <row r="869" spans="1:1" ht="15.75" customHeight="1">
      <c r="A869" s="252"/>
    </row>
    <row r="870" spans="1:1" ht="15.75" customHeight="1">
      <c r="A870" s="252"/>
    </row>
    <row r="871" spans="1:1" ht="15.75" customHeight="1">
      <c r="A871" s="252"/>
    </row>
    <row r="872" spans="1:1" ht="15.75" customHeight="1">
      <c r="A872" s="252"/>
    </row>
    <row r="873" spans="1:1" ht="15.75" customHeight="1">
      <c r="A873" s="252"/>
    </row>
    <row r="874" spans="1:1" ht="15.75" customHeight="1">
      <c r="A874" s="252"/>
    </row>
    <row r="875" spans="1:1" ht="15.75" customHeight="1">
      <c r="A875" s="252"/>
    </row>
    <row r="876" spans="1:1" ht="15.75" customHeight="1">
      <c r="A876" s="252"/>
    </row>
    <row r="877" spans="1:1" ht="15.75" customHeight="1">
      <c r="A877" s="252"/>
    </row>
    <row r="878" spans="1:1" ht="15.75" customHeight="1">
      <c r="A878" s="252"/>
    </row>
    <row r="879" spans="1:1" ht="15.75" customHeight="1">
      <c r="A879" s="252"/>
    </row>
    <row r="880" spans="1:1" ht="15.75" customHeight="1">
      <c r="A880" s="252"/>
    </row>
    <row r="881" spans="1:1" ht="15.75" customHeight="1">
      <c r="A881" s="252"/>
    </row>
    <row r="882" spans="1:1" ht="15.75" customHeight="1">
      <c r="A882" s="252"/>
    </row>
    <row r="883" spans="1:1" ht="15.75" customHeight="1">
      <c r="A883" s="252"/>
    </row>
    <row r="884" spans="1:1" ht="15.75" customHeight="1">
      <c r="A884" s="252"/>
    </row>
    <row r="885" spans="1:1" ht="15.75" customHeight="1">
      <c r="A885" s="252"/>
    </row>
    <row r="886" spans="1:1" ht="15.75" customHeight="1">
      <c r="A886" s="252"/>
    </row>
    <row r="887" spans="1:1" ht="15.75" customHeight="1">
      <c r="A887" s="252"/>
    </row>
    <row r="888" spans="1:1" ht="15.75" customHeight="1">
      <c r="A888" s="252"/>
    </row>
    <row r="889" spans="1:1" ht="15.75" customHeight="1">
      <c r="A889" s="252"/>
    </row>
    <row r="890" spans="1:1" ht="15.75" customHeight="1">
      <c r="A890" s="252"/>
    </row>
    <row r="891" spans="1:1" ht="15.75" customHeight="1">
      <c r="A891" s="252"/>
    </row>
    <row r="892" spans="1:1" ht="15.75" customHeight="1">
      <c r="A892" s="252"/>
    </row>
    <row r="893" spans="1:1" ht="15.75" customHeight="1">
      <c r="A893" s="252"/>
    </row>
    <row r="894" spans="1:1" ht="15.75" customHeight="1">
      <c r="A894" s="252"/>
    </row>
    <row r="895" spans="1:1" ht="15.75" customHeight="1">
      <c r="A895" s="252"/>
    </row>
    <row r="896" spans="1:1" ht="15.75" customHeight="1">
      <c r="A896" s="252"/>
    </row>
    <row r="897" spans="1:1" ht="15.75" customHeight="1">
      <c r="A897" s="252"/>
    </row>
    <row r="898" spans="1:1" ht="15.75" customHeight="1">
      <c r="A898" s="252"/>
    </row>
    <row r="899" spans="1:1" ht="15.75" customHeight="1">
      <c r="A899" s="252"/>
    </row>
    <row r="900" spans="1:1" ht="15.75" customHeight="1">
      <c r="A900" s="252"/>
    </row>
    <row r="901" spans="1:1" ht="15.75" customHeight="1">
      <c r="A901" s="252"/>
    </row>
    <row r="902" spans="1:1" ht="15.75" customHeight="1">
      <c r="A902" s="252"/>
    </row>
    <row r="903" spans="1:1" ht="15.75" customHeight="1">
      <c r="A903" s="252"/>
    </row>
    <row r="904" spans="1:1" ht="15.75" customHeight="1">
      <c r="A904" s="252"/>
    </row>
    <row r="905" spans="1:1" ht="15.75" customHeight="1">
      <c r="A905" s="252"/>
    </row>
    <row r="906" spans="1:1" ht="15.75" customHeight="1">
      <c r="A906" s="252"/>
    </row>
    <row r="907" spans="1:1" ht="15.75" customHeight="1">
      <c r="A907" s="252"/>
    </row>
    <row r="908" spans="1:1" ht="15.75" customHeight="1">
      <c r="A908" s="252"/>
    </row>
    <row r="909" spans="1:1" ht="15.75" customHeight="1">
      <c r="A909" s="252"/>
    </row>
    <row r="910" spans="1:1" ht="15.75" customHeight="1">
      <c r="A910" s="252"/>
    </row>
    <row r="911" spans="1:1" ht="15.75" customHeight="1">
      <c r="A911" s="252"/>
    </row>
    <row r="912" spans="1:1" ht="15.75" customHeight="1">
      <c r="A912" s="252"/>
    </row>
    <row r="913" spans="1:1" ht="15.75" customHeight="1">
      <c r="A913" s="252"/>
    </row>
    <row r="914" spans="1:1" ht="15.75" customHeight="1">
      <c r="A914" s="252"/>
    </row>
    <row r="915" spans="1:1" ht="15.75" customHeight="1">
      <c r="A915" s="252"/>
    </row>
    <row r="916" spans="1:1" ht="15.75" customHeight="1">
      <c r="A916" s="252"/>
    </row>
    <row r="917" spans="1:1" ht="15.75" customHeight="1">
      <c r="A917" s="252"/>
    </row>
    <row r="918" spans="1:1" ht="15.75" customHeight="1">
      <c r="A918" s="252"/>
    </row>
    <row r="919" spans="1:1" ht="15.75" customHeight="1">
      <c r="A919" s="252"/>
    </row>
    <row r="920" spans="1:1" ht="15.75" customHeight="1">
      <c r="A920" s="252"/>
    </row>
    <row r="921" spans="1:1" ht="15.75" customHeight="1">
      <c r="A921" s="252"/>
    </row>
    <row r="922" spans="1:1" ht="15.75" customHeight="1">
      <c r="A922" s="252"/>
    </row>
    <row r="923" spans="1:1" ht="15.75" customHeight="1">
      <c r="A923" s="252"/>
    </row>
    <row r="924" spans="1:1" ht="15.75" customHeight="1">
      <c r="A924" s="252"/>
    </row>
    <row r="925" spans="1:1" ht="15.75" customHeight="1">
      <c r="A925" s="252"/>
    </row>
    <row r="926" spans="1:1" ht="15.75" customHeight="1">
      <c r="A926" s="252"/>
    </row>
    <row r="927" spans="1:1" ht="15.75" customHeight="1">
      <c r="A927" s="252"/>
    </row>
    <row r="928" spans="1:1" ht="15.75" customHeight="1">
      <c r="A928" s="252"/>
    </row>
    <row r="929" spans="1:1" ht="15.75" customHeight="1">
      <c r="A929" s="252"/>
    </row>
    <row r="930" spans="1:1" ht="15.75" customHeight="1">
      <c r="A930" s="252"/>
    </row>
    <row r="931" spans="1:1" ht="15.75" customHeight="1">
      <c r="A931" s="252"/>
    </row>
    <row r="932" spans="1:1" ht="15.75" customHeight="1">
      <c r="A932" s="252"/>
    </row>
    <row r="933" spans="1:1" ht="15.75" customHeight="1">
      <c r="A933" s="252"/>
    </row>
    <row r="934" spans="1:1" ht="15.75" customHeight="1">
      <c r="A934" s="252"/>
    </row>
    <row r="935" spans="1:1" ht="15.75" customHeight="1">
      <c r="A935" s="252"/>
    </row>
    <row r="936" spans="1:1" ht="15.75" customHeight="1">
      <c r="A936" s="252"/>
    </row>
    <row r="937" spans="1:1" ht="15.75" customHeight="1">
      <c r="A937" s="252"/>
    </row>
    <row r="938" spans="1:1" ht="15.75" customHeight="1">
      <c r="A938" s="252"/>
    </row>
    <row r="939" spans="1:1" ht="15.75" customHeight="1">
      <c r="A939" s="252"/>
    </row>
    <row r="940" spans="1:1" ht="15.75" customHeight="1">
      <c r="A940" s="252"/>
    </row>
    <row r="941" spans="1:1" ht="15.75" customHeight="1">
      <c r="A941" s="252"/>
    </row>
    <row r="942" spans="1:1" ht="15.75" customHeight="1">
      <c r="A942" s="252"/>
    </row>
    <row r="943" spans="1:1" ht="15.75" customHeight="1">
      <c r="A943" s="252"/>
    </row>
    <row r="944" spans="1:1" ht="15.75" customHeight="1">
      <c r="A944" s="252"/>
    </row>
    <row r="945" spans="1:1" ht="15.75" customHeight="1">
      <c r="A945" s="252"/>
    </row>
    <row r="946" spans="1:1" ht="15.75" customHeight="1">
      <c r="A946" s="252"/>
    </row>
    <row r="947" spans="1:1" ht="15.75" customHeight="1">
      <c r="A947" s="252"/>
    </row>
    <row r="948" spans="1:1" ht="15.75" customHeight="1">
      <c r="A948" s="252"/>
    </row>
    <row r="949" spans="1:1" ht="15.75" customHeight="1">
      <c r="A949" s="252"/>
    </row>
    <row r="950" spans="1:1" ht="15.75" customHeight="1">
      <c r="A950" s="252"/>
    </row>
    <row r="951" spans="1:1" ht="15.75" customHeight="1">
      <c r="A951" s="252"/>
    </row>
    <row r="952" spans="1:1" ht="15.75" customHeight="1">
      <c r="A952" s="252"/>
    </row>
    <row r="953" spans="1:1" ht="15.75" customHeight="1">
      <c r="A953" s="252"/>
    </row>
    <row r="954" spans="1:1" ht="15.75" customHeight="1">
      <c r="A954" s="252"/>
    </row>
    <row r="955" spans="1:1" ht="15.75" customHeight="1">
      <c r="A955" s="252"/>
    </row>
    <row r="956" spans="1:1" ht="15.75" customHeight="1">
      <c r="A956" s="252"/>
    </row>
    <row r="957" spans="1:1" ht="15.75" customHeight="1">
      <c r="A957" s="252"/>
    </row>
    <row r="958" spans="1:1" ht="15.75" customHeight="1">
      <c r="A958" s="252"/>
    </row>
    <row r="959" spans="1:1" ht="15.75" customHeight="1">
      <c r="A959" s="252"/>
    </row>
    <row r="960" spans="1:1" ht="15.75" customHeight="1">
      <c r="A960" s="252"/>
    </row>
    <row r="961" spans="1:1" ht="15.75" customHeight="1">
      <c r="A961" s="252"/>
    </row>
    <row r="962" spans="1:1" ht="15.75" customHeight="1">
      <c r="A962" s="252"/>
    </row>
    <row r="963" spans="1:1" ht="15.75" customHeight="1">
      <c r="A963" s="252"/>
    </row>
    <row r="964" spans="1:1" ht="15.75" customHeight="1">
      <c r="A964" s="252"/>
    </row>
    <row r="965" spans="1:1" ht="15.75" customHeight="1">
      <c r="A965" s="252"/>
    </row>
    <row r="966" spans="1:1" ht="15.75" customHeight="1">
      <c r="A966" s="252"/>
    </row>
    <row r="967" spans="1:1" ht="15.75" customHeight="1">
      <c r="A967" s="252"/>
    </row>
    <row r="968" spans="1:1" ht="15.75" customHeight="1">
      <c r="A968" s="252"/>
    </row>
    <row r="969" spans="1:1" ht="15.75" customHeight="1">
      <c r="A969" s="252"/>
    </row>
    <row r="970" spans="1:1" ht="15.75" customHeight="1">
      <c r="A970" s="252"/>
    </row>
    <row r="971" spans="1:1" ht="15.75" customHeight="1">
      <c r="A971" s="252"/>
    </row>
    <row r="972" spans="1:1" ht="15.75" customHeight="1">
      <c r="A972" s="252"/>
    </row>
    <row r="973" spans="1:1" ht="15.75" customHeight="1">
      <c r="A973" s="252"/>
    </row>
    <row r="974" spans="1:1" ht="15.75" customHeight="1">
      <c r="A974" s="252"/>
    </row>
    <row r="975" spans="1:1" ht="15.75" customHeight="1">
      <c r="A975" s="252"/>
    </row>
    <row r="976" spans="1:1" ht="15.75" customHeight="1">
      <c r="A976" s="252"/>
    </row>
    <row r="977" spans="1:1" ht="15.75" customHeight="1">
      <c r="A977" s="252"/>
    </row>
    <row r="978" spans="1:1" ht="15.75" customHeight="1">
      <c r="A978" s="252"/>
    </row>
    <row r="979" spans="1:1" ht="15.75" customHeight="1">
      <c r="A979" s="252"/>
    </row>
    <row r="980" spans="1:1" ht="15.75" customHeight="1">
      <c r="A980" s="252"/>
    </row>
    <row r="981" spans="1:1" ht="15.75" customHeight="1">
      <c r="A981" s="252"/>
    </row>
    <row r="982" spans="1:1" ht="15.75" customHeight="1">
      <c r="A982" s="252"/>
    </row>
    <row r="983" spans="1:1" ht="15.75" customHeight="1">
      <c r="A983" s="252"/>
    </row>
    <row r="984" spans="1:1" ht="15.75" customHeight="1">
      <c r="A984" s="252"/>
    </row>
    <row r="985" spans="1:1" ht="15.75" customHeight="1">
      <c r="A985" s="252"/>
    </row>
    <row r="986" spans="1:1" ht="15.75" customHeight="1">
      <c r="A986" s="252"/>
    </row>
    <row r="987" spans="1:1" ht="15.75" customHeight="1">
      <c r="A987" s="252"/>
    </row>
    <row r="988" spans="1:1" ht="15.75" customHeight="1">
      <c r="A988" s="252"/>
    </row>
    <row r="989" spans="1:1" ht="15.75" customHeight="1">
      <c r="A989" s="252"/>
    </row>
    <row r="990" spans="1:1" ht="15.75" customHeight="1">
      <c r="A990" s="252"/>
    </row>
    <row r="991" spans="1:1" ht="15.75" customHeight="1">
      <c r="A991" s="252"/>
    </row>
    <row r="992" spans="1:1" ht="15.75" customHeight="1">
      <c r="A992" s="252"/>
    </row>
    <row r="993" spans="1:1" ht="15.75" customHeight="1">
      <c r="A993" s="252"/>
    </row>
    <row r="994" spans="1:1" ht="15.75" customHeight="1">
      <c r="A994" s="252"/>
    </row>
    <row r="995" spans="1:1" ht="15.75" customHeight="1">
      <c r="A995" s="252"/>
    </row>
    <row r="996" spans="1:1" ht="15.75" customHeight="1">
      <c r="A996" s="252"/>
    </row>
    <row r="997" spans="1:1" ht="15.75" customHeight="1">
      <c r="A997" s="252"/>
    </row>
    <row r="998" spans="1:1" ht="15.75" customHeight="1">
      <c r="A998" s="252"/>
    </row>
    <row r="999" spans="1:1" ht="15.75" customHeight="1">
      <c r="A999" s="252"/>
    </row>
    <row r="1000" spans="1:1" ht="15.75" customHeight="1">
      <c r="A1000" s="252"/>
    </row>
  </sheetData>
  <conditionalFormatting sqref="AI27:AI34">
    <cfRule type="cellIs" dxfId="0" priority="1" operator="equal">
      <formula>140.2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 Forecast Totals</vt:lpstr>
      <vt:lpstr>Visualization</vt:lpstr>
      <vt:lpstr>Controls</vt:lpstr>
      <vt:lpstr>Man Hours &amp; Costs</vt:lpstr>
      <vt:lpstr>Work History</vt:lpstr>
      <vt:lpstr>TEAMGROWTH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Sandifer</dc:creator>
  <cp:lastModifiedBy>Sam Sandifer</cp:lastModifiedBy>
  <dcterms:created xsi:type="dcterms:W3CDTF">2024-10-18T19:13:53Z</dcterms:created>
  <dcterms:modified xsi:type="dcterms:W3CDTF">2024-10-18T19:13:53Z</dcterms:modified>
</cp:coreProperties>
</file>