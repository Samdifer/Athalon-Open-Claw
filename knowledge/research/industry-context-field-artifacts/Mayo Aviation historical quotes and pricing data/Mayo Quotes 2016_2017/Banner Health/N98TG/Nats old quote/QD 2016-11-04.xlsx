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Banner Health\Garmin Panel\"/>
    </mc:Choice>
  </mc:AlternateContent>
  <bookViews>
    <workbookView xWindow="0" yWindow="0" windowWidth="20490" windowHeight="7530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G34" i="1"/>
  <c r="E17" i="1"/>
  <c r="E32" i="1"/>
  <c r="K36" i="1"/>
  <c r="N35" i="1"/>
  <c r="N36" i="1" s="1"/>
  <c r="C39" i="1"/>
  <c r="E36" i="1"/>
  <c r="G36" i="1" s="1"/>
  <c r="I36" i="1" s="1"/>
  <c r="E35" i="1"/>
  <c r="G35" i="1" s="1"/>
  <c r="I35" i="1" s="1"/>
  <c r="I34" i="1"/>
  <c r="G33" i="1"/>
  <c r="I33" i="1" s="1"/>
  <c r="G32" i="1"/>
  <c r="I32" i="1" s="1"/>
  <c r="E14" i="1"/>
  <c r="G14" i="1" s="1"/>
  <c r="I14" i="1" s="1"/>
  <c r="E13" i="1"/>
  <c r="G13" i="1" s="1"/>
  <c r="I13" i="1" s="1"/>
  <c r="E6" i="1"/>
  <c r="G6" i="1" s="1"/>
  <c r="I6" i="1" s="1"/>
  <c r="E7" i="1"/>
  <c r="E8" i="1"/>
  <c r="G8" i="1" s="1"/>
  <c r="I8" i="1" s="1"/>
  <c r="E9" i="1"/>
  <c r="G9" i="1" s="1"/>
  <c r="I9" i="1" s="1"/>
  <c r="E10" i="1"/>
  <c r="E11" i="1"/>
  <c r="G11" i="1" s="1"/>
  <c r="I11" i="1" s="1"/>
  <c r="E12" i="1"/>
  <c r="G12" i="1" s="1"/>
  <c r="I12" i="1" s="1"/>
  <c r="E15" i="1"/>
  <c r="G10" i="1"/>
  <c r="I10" i="1" s="1"/>
  <c r="G7" i="1"/>
  <c r="I7" i="1" s="1"/>
  <c r="E5" i="1"/>
  <c r="G5" i="1" s="1"/>
  <c r="I5" i="1" s="1"/>
  <c r="G39" i="1" l="1"/>
  <c r="E39" i="1"/>
  <c r="C23" i="1"/>
  <c r="K8" i="1"/>
  <c r="N7" i="1"/>
  <c r="N8" i="1" s="1"/>
  <c r="I39" i="1" l="1"/>
  <c r="D10" i="2"/>
  <c r="E18" i="1" l="1"/>
  <c r="G15" i="1" l="1"/>
  <c r="I15" i="1" s="1"/>
  <c r="E19" i="1"/>
  <c r="E23" i="1" l="1"/>
  <c r="G20" i="1"/>
  <c r="G16" i="1" l="1"/>
  <c r="I16" i="1" s="1"/>
  <c r="G17" i="1"/>
  <c r="I17" i="1" s="1"/>
  <c r="G18" i="1"/>
  <c r="I18" i="1" s="1"/>
  <c r="G19" i="1"/>
  <c r="G23" i="1" l="1"/>
  <c r="I23" i="1" s="1"/>
  <c r="I19" i="1"/>
</calcChain>
</file>

<file path=xl/sharedStrings.xml><?xml version="1.0" encoding="utf-8"?>
<sst xmlns="http://schemas.openxmlformats.org/spreadsheetml/2006/main" count="40" uniqueCount="29">
  <si>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</si>
  <si>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</si>
  <si>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</si>
  <si>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</si>
  <si>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</si>
  <si>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</si>
  <si>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</si>
  <si>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</si>
  <si>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</si>
  <si>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</si>
  <si>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</si>
  <si>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Garmin GTN-650</t>
  </si>
  <si>
    <t>Trade In</t>
  </si>
  <si>
    <t>less Flat Rate Cert</t>
  </si>
  <si>
    <t>less 25%</t>
  </si>
  <si>
    <t>Hours</t>
  </si>
  <si>
    <t>Garmin 400W GPS (ILS Price)</t>
  </si>
  <si>
    <t>Garmin GMA-350</t>
  </si>
  <si>
    <t>Garmin GTN-750</t>
  </si>
  <si>
    <t>* Chartview</t>
  </si>
  <si>
    <t>* 16 Watt Enable</t>
  </si>
  <si>
    <t>GTX 335 Transponder</t>
  </si>
  <si>
    <t>GTX 345 Transponder</t>
  </si>
  <si>
    <t>Flightsteam 210</t>
  </si>
  <si>
    <t>GA 35 GPS/WAAS antenna (2ea)</t>
  </si>
  <si>
    <t>COMANT TRANSPONDER CI-105 (2 ea)</t>
  </si>
  <si>
    <t>Installation 24 Hrs</t>
  </si>
  <si>
    <t>GDL 69 SXM</t>
  </si>
  <si>
    <t>Installation 160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</si>
</sst>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39"/>
  <sheetViews>
    <sheetView tabSelected="1" topLeftCell="A18" workbookViewId="0">
      <selection activeCell="B13" sqref="B13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3" max="13" width="10.5703125" bestFit="1" customWidth="1"/>
  </cols>
  <sheetData>
    <row r="3" spans="2:15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5" x14ac:dyDescent="0.25">
      <c r="B4" s="1"/>
      <c r="C4" s="9"/>
      <c r="D4" s="9"/>
      <c r="E4" s="10"/>
      <c r="F4" s="10"/>
      <c r="G4" s="9"/>
      <c r="H4" s="9"/>
      <c r="I4" s="9"/>
    </row>
    <row r="5" spans="2:15" x14ac:dyDescent="0.25">
      <c r="B5" s="14" t="s">
        <v>17</v>
      </c>
      <c r="C5" s="4">
        <v>1496</v>
      </c>
      <c r="D5" s="4"/>
      <c r="E5" s="4">
        <f>C5*1.176</f>
        <v>1759.2959999999998</v>
      </c>
      <c r="F5" s="4"/>
      <c r="G5" s="8">
        <f>E5-C5</f>
        <v>263.29599999999982</v>
      </c>
      <c r="H5" s="8"/>
      <c r="I5" s="11">
        <f t="shared" ref="I5:I14" si="0">G5/E5</f>
        <v>0.14965986394557815</v>
      </c>
      <c r="K5">
        <v>9</v>
      </c>
      <c r="L5" t="s">
        <v>9</v>
      </c>
      <c r="N5">
        <v>160</v>
      </c>
      <c r="O5" t="s">
        <v>15</v>
      </c>
    </row>
    <row r="6" spans="2:15" x14ac:dyDescent="0.25">
      <c r="B6" s="14" t="s">
        <v>18</v>
      </c>
      <c r="C6" s="4">
        <v>12675</v>
      </c>
      <c r="D6" s="4"/>
      <c r="E6" s="4">
        <f t="shared" ref="E6:E15" si="1">C6*1.176</f>
        <v>14905.8</v>
      </c>
      <c r="F6" s="4"/>
      <c r="G6" s="8">
        <f t="shared" ref="G6:G11" si="2">E6-C6</f>
        <v>2230.7999999999993</v>
      </c>
      <c r="H6" s="8"/>
      <c r="I6" s="11">
        <f t="shared" si="0"/>
        <v>0.1496598639455782</v>
      </c>
      <c r="K6">
        <v>4</v>
      </c>
      <c r="N6">
        <v>45</v>
      </c>
    </row>
    <row r="7" spans="2:15" x14ac:dyDescent="0.25">
      <c r="B7" s="14" t="s">
        <v>20</v>
      </c>
      <c r="C7" s="4">
        <v>3746</v>
      </c>
      <c r="D7" s="4"/>
      <c r="E7" s="4">
        <f t="shared" si="1"/>
        <v>4405.2959999999994</v>
      </c>
      <c r="F7" s="4"/>
      <c r="G7" s="8">
        <f t="shared" si="2"/>
        <v>659.29599999999937</v>
      </c>
      <c r="H7" s="8"/>
      <c r="I7" s="11">
        <f t="shared" si="0"/>
        <v>0.14965986394557812</v>
      </c>
      <c r="K7">
        <v>85</v>
      </c>
      <c r="N7">
        <f>N5*N6</f>
        <v>7200</v>
      </c>
    </row>
    <row r="8" spans="2:15" x14ac:dyDescent="0.25">
      <c r="B8" s="14" t="s">
        <v>19</v>
      </c>
      <c r="C8" s="4">
        <v>1496</v>
      </c>
      <c r="D8" s="4"/>
      <c r="E8" s="4">
        <f t="shared" si="1"/>
        <v>1759.2959999999998</v>
      </c>
      <c r="F8" s="4"/>
      <c r="G8" s="8">
        <f t="shared" si="2"/>
        <v>263.29599999999982</v>
      </c>
      <c r="H8" s="8"/>
      <c r="I8" s="11">
        <f t="shared" si="0"/>
        <v>0.14965986394557815</v>
      </c>
      <c r="K8">
        <f>K5*K6*K7</f>
        <v>3060</v>
      </c>
      <c r="N8">
        <f>N7*0.05</f>
        <v>360</v>
      </c>
    </row>
    <row r="9" spans="2:15" x14ac:dyDescent="0.25">
      <c r="B9" s="14" t="s">
        <v>11</v>
      </c>
      <c r="C9" s="4">
        <v>8550</v>
      </c>
      <c r="D9" s="4"/>
      <c r="E9" s="4">
        <f t="shared" si="1"/>
        <v>10054.799999999999</v>
      </c>
      <c r="F9" s="4"/>
      <c r="G9" s="8">
        <f t="shared" si="2"/>
        <v>1504.7999999999993</v>
      </c>
      <c r="H9" s="8"/>
      <c r="I9" s="11">
        <f t="shared" si="0"/>
        <v>0.14965986394557818</v>
      </c>
    </row>
    <row r="10" spans="2:15" x14ac:dyDescent="0.25">
      <c r="B10" s="2" t="s">
        <v>10</v>
      </c>
      <c r="C10" s="4">
        <v>420</v>
      </c>
      <c r="D10" s="4"/>
      <c r="E10" s="4">
        <f t="shared" si="1"/>
        <v>493.91999999999996</v>
      </c>
      <c r="F10" s="4"/>
      <c r="G10" s="8">
        <f t="shared" si="2"/>
        <v>73.919999999999959</v>
      </c>
      <c r="H10" s="8"/>
      <c r="I10" s="11">
        <f t="shared" si="0"/>
        <v>0.14965986394557815</v>
      </c>
    </row>
    <row r="11" spans="2:15" x14ac:dyDescent="0.25">
      <c r="B11" s="2" t="s">
        <v>21</v>
      </c>
      <c r="C11" s="4">
        <v>2246</v>
      </c>
      <c r="D11" s="4"/>
      <c r="E11" s="4">
        <f t="shared" si="1"/>
        <v>2641.2959999999998</v>
      </c>
      <c r="F11" s="4"/>
      <c r="G11" s="8">
        <f t="shared" si="2"/>
        <v>395.29599999999982</v>
      </c>
      <c r="H11" s="8"/>
      <c r="I11" s="11">
        <f t="shared" si="0"/>
        <v>0.14965986394557818</v>
      </c>
    </row>
    <row r="12" spans="2:15" x14ac:dyDescent="0.25">
      <c r="B12" s="2" t="s">
        <v>22</v>
      </c>
      <c r="C12" s="4">
        <v>3746</v>
      </c>
      <c r="D12" s="4"/>
      <c r="E12" s="4">
        <f t="shared" si="1"/>
        <v>4405.2959999999994</v>
      </c>
      <c r="F12" s="4"/>
      <c r="G12" s="8">
        <f>E12-C12</f>
        <v>659.29599999999937</v>
      </c>
      <c r="H12" s="8"/>
      <c r="I12" s="11">
        <f t="shared" si="0"/>
        <v>0.14965986394557812</v>
      </c>
    </row>
    <row r="13" spans="2:15" x14ac:dyDescent="0.25">
      <c r="B13" s="2" t="s">
        <v>24</v>
      </c>
      <c r="C13" s="4">
        <v>528</v>
      </c>
      <c r="D13" s="4"/>
      <c r="E13" s="4">
        <f t="shared" si="1"/>
        <v>620.928</v>
      </c>
      <c r="F13" s="4"/>
      <c r="G13" s="8">
        <f>E13-C13</f>
        <v>92.927999999999997</v>
      </c>
      <c r="H13" s="8"/>
      <c r="I13" s="11">
        <f t="shared" si="0"/>
        <v>0.14965986394557823</v>
      </c>
    </row>
    <row r="14" spans="2:15" x14ac:dyDescent="0.25">
      <c r="B14" s="2" t="s">
        <v>25</v>
      </c>
      <c r="C14" s="4">
        <v>370</v>
      </c>
      <c r="D14" s="4"/>
      <c r="E14" s="4">
        <f t="shared" si="1"/>
        <v>435.11999999999995</v>
      </c>
      <c r="F14" s="4"/>
      <c r="G14" s="8">
        <f>E14-C14</f>
        <v>65.119999999999948</v>
      </c>
      <c r="H14" s="8"/>
      <c r="I14" s="11">
        <f t="shared" si="0"/>
        <v>0.14965986394557812</v>
      </c>
    </row>
    <row r="15" spans="2:15" x14ac:dyDescent="0.25">
      <c r="B15" s="2" t="s">
        <v>23</v>
      </c>
      <c r="C15" s="4">
        <v>807</v>
      </c>
      <c r="D15" s="4"/>
      <c r="E15" s="4">
        <f t="shared" si="1"/>
        <v>949.03199999999993</v>
      </c>
      <c r="F15" s="4"/>
      <c r="G15" s="8">
        <f>E15-C15</f>
        <v>142.03199999999993</v>
      </c>
      <c r="H15" s="8"/>
      <c r="I15" s="11">
        <f t="shared" ref="I15" si="3">G15/E15</f>
        <v>0.14965986394557818</v>
      </c>
    </row>
    <row r="16" spans="2:15" x14ac:dyDescent="0.25">
      <c r="B16" s="2" t="s">
        <v>28</v>
      </c>
      <c r="C16" s="4">
        <v>7200</v>
      </c>
      <c r="D16" s="4"/>
      <c r="E16" s="4">
        <v>12800</v>
      </c>
      <c r="F16" s="4"/>
      <c r="G16" s="8">
        <f t="shared" ref="G16:G20" si="4">E16-C16</f>
        <v>5600</v>
      </c>
      <c r="H16" s="8"/>
      <c r="I16" s="11">
        <f>G16/E16</f>
        <v>0.4375</v>
      </c>
    </row>
    <row r="17" spans="2:9" x14ac:dyDescent="0.25">
      <c r="B17" s="2" t="s">
        <v>0</v>
      </c>
      <c r="C17" s="4">
        <v>150</v>
      </c>
      <c r="D17" s="4"/>
      <c r="E17" s="4">
        <f t="shared" ref="E17:E19" si="5">C17*1.176</f>
        <v>176.39999999999998</v>
      </c>
      <c r="F17" s="4"/>
      <c r="G17" s="8">
        <f t="shared" si="4"/>
        <v>26.399999999999977</v>
      </c>
      <c r="H17" s="8"/>
      <c r="I17" s="11">
        <f>G17/E17</f>
        <v>0.14965986394557812</v>
      </c>
    </row>
    <row r="18" spans="2:9" x14ac:dyDescent="0.25">
      <c r="B18" s="2" t="s">
        <v>1</v>
      </c>
      <c r="C18" s="4">
        <v>600</v>
      </c>
      <c r="D18" s="4"/>
      <c r="E18" s="4">
        <f t="shared" si="5"/>
        <v>705.59999999999991</v>
      </c>
      <c r="F18" s="4"/>
      <c r="G18" s="8">
        <f t="shared" si="4"/>
        <v>105.59999999999991</v>
      </c>
      <c r="H18" s="8"/>
      <c r="I18" s="11">
        <f>G18/E18</f>
        <v>0.14965986394557812</v>
      </c>
    </row>
    <row r="19" spans="2:9" x14ac:dyDescent="0.25">
      <c r="B19" s="2" t="s">
        <v>2</v>
      </c>
      <c r="C19" s="4">
        <v>3060</v>
      </c>
      <c r="D19" s="4"/>
      <c r="E19" s="4">
        <f t="shared" si="5"/>
        <v>3598.56</v>
      </c>
      <c r="F19" s="4"/>
      <c r="G19" s="8">
        <f t="shared" si="4"/>
        <v>538.55999999999995</v>
      </c>
      <c r="H19" s="8"/>
      <c r="I19" s="11">
        <f>G19/E19</f>
        <v>0.14965986394557823</v>
      </c>
    </row>
    <row r="20" spans="2:9" x14ac:dyDescent="0.25">
      <c r="B20" s="2" t="s">
        <v>8</v>
      </c>
      <c r="C20" s="4">
        <v>0</v>
      </c>
      <c r="D20" s="4"/>
      <c r="E20" s="4"/>
      <c r="F20" s="4"/>
      <c r="G20" s="8">
        <f t="shared" si="4"/>
        <v>0</v>
      </c>
      <c r="H20" s="8"/>
      <c r="I20" s="11"/>
    </row>
    <row r="21" spans="2:9" x14ac:dyDescent="0.25">
      <c r="B21" s="2"/>
      <c r="C21" s="4"/>
      <c r="D21" s="4"/>
      <c r="E21" s="4"/>
      <c r="F21" s="4"/>
      <c r="G21" s="8"/>
      <c r="H21" s="8"/>
      <c r="I21" s="11"/>
    </row>
    <row r="22" spans="2:9" ht="15.75" thickBot="1" x14ac:dyDescent="0.3">
      <c r="B22" s="3"/>
      <c r="C22" s="4"/>
      <c r="D22" s="4"/>
      <c r="E22" s="6"/>
      <c r="F22" s="6"/>
      <c r="G22" s="8"/>
      <c r="H22" s="8"/>
      <c r="I22" s="11"/>
    </row>
    <row r="23" spans="2:9" ht="15.75" thickTop="1" x14ac:dyDescent="0.25">
      <c r="B23" s="3" t="s">
        <v>3</v>
      </c>
      <c r="C23" s="7">
        <f>SUM(C5:C22)</f>
        <v>47090</v>
      </c>
      <c r="D23" s="4"/>
      <c r="E23" s="7">
        <f>SUM(E5:E22)</f>
        <v>59710.64</v>
      </c>
      <c r="F23" s="6"/>
      <c r="G23" s="7">
        <f>SUM(G5:G22)</f>
        <v>12620.639999999998</v>
      </c>
      <c r="H23" s="6"/>
      <c r="I23" s="11">
        <f>G23/E23</f>
        <v>0.21136333490982509</v>
      </c>
    </row>
    <row r="30" spans="2:9" x14ac:dyDescent="0.25">
      <c r="B30" s="1"/>
      <c r="C30" s="9" t="s">
        <v>4</v>
      </c>
      <c r="D30" s="9"/>
      <c r="E30" s="10" t="s">
        <v>5</v>
      </c>
      <c r="F30" s="10"/>
      <c r="G30" s="9" t="s">
        <v>6</v>
      </c>
      <c r="H30" s="9"/>
      <c r="I30" s="9" t="s">
        <v>7</v>
      </c>
    </row>
    <row r="31" spans="2:9" x14ac:dyDescent="0.25">
      <c r="B31" s="1"/>
      <c r="C31" s="9"/>
      <c r="D31" s="9"/>
      <c r="E31" s="10"/>
      <c r="F31" s="10"/>
      <c r="G31" s="9"/>
      <c r="H31" s="9"/>
      <c r="I31" s="9"/>
    </row>
    <row r="32" spans="2:9" x14ac:dyDescent="0.25">
      <c r="B32" s="2" t="s">
        <v>27</v>
      </c>
      <c r="C32" s="4">
        <v>3146</v>
      </c>
      <c r="D32" s="4"/>
      <c r="E32" s="4">
        <f t="shared" ref="E32:E34" si="6">C32*1.176</f>
        <v>3699.6959999999999</v>
      </c>
      <c r="F32" s="4"/>
      <c r="G32" s="8">
        <f>E32-C32</f>
        <v>553.69599999999991</v>
      </c>
      <c r="H32" s="8"/>
      <c r="I32" s="11">
        <f t="shared" ref="I32" si="7">G32/E32</f>
        <v>0.1496598639455782</v>
      </c>
    </row>
    <row r="33" spans="2:15" x14ac:dyDescent="0.25">
      <c r="B33" s="2" t="s">
        <v>26</v>
      </c>
      <c r="C33" s="4">
        <v>1080</v>
      </c>
      <c r="D33" s="4"/>
      <c r="E33" s="4">
        <v>1920</v>
      </c>
      <c r="F33" s="4"/>
      <c r="G33" s="8">
        <f t="shared" ref="G33:G36" si="8">E33-C33</f>
        <v>840</v>
      </c>
      <c r="H33" s="8"/>
      <c r="I33" s="11">
        <f>G33/E33</f>
        <v>0.4375</v>
      </c>
      <c r="K33">
        <v>2</v>
      </c>
      <c r="L33" t="s">
        <v>9</v>
      </c>
      <c r="N33">
        <v>24</v>
      </c>
      <c r="O33" t="s">
        <v>15</v>
      </c>
    </row>
    <row r="34" spans="2:15" x14ac:dyDescent="0.25">
      <c r="B34" s="2" t="s">
        <v>0</v>
      </c>
      <c r="C34" s="4">
        <v>50</v>
      </c>
      <c r="D34" s="4"/>
      <c r="E34" s="4">
        <f t="shared" si="6"/>
        <v>58.8</v>
      </c>
      <c r="F34" s="4"/>
      <c r="G34" s="8">
        <f t="shared" si="8"/>
        <v>8.7999999999999972</v>
      </c>
      <c r="H34" s="8"/>
      <c r="I34" s="11">
        <f>G34/E34</f>
        <v>0.1496598639455782</v>
      </c>
      <c r="K34">
        <v>4</v>
      </c>
      <c r="N34">
        <v>80</v>
      </c>
    </row>
    <row r="35" spans="2:15" x14ac:dyDescent="0.25">
      <c r="B35" s="2" t="s">
        <v>1</v>
      </c>
      <c r="C35" s="4">
        <v>120</v>
      </c>
      <c r="D35" s="4"/>
      <c r="E35" s="4">
        <f t="shared" ref="E35:E36" si="9">C35*1.176</f>
        <v>141.12</v>
      </c>
      <c r="F35" s="4"/>
      <c r="G35" s="8">
        <f t="shared" si="8"/>
        <v>21.120000000000005</v>
      </c>
      <c r="H35" s="8"/>
      <c r="I35" s="11">
        <f>G35/E35</f>
        <v>0.14965986394557826</v>
      </c>
      <c r="K35">
        <v>85</v>
      </c>
      <c r="N35">
        <f>N33*N34</f>
        <v>1920</v>
      </c>
    </row>
    <row r="36" spans="2:15" x14ac:dyDescent="0.25">
      <c r="B36" s="2" t="s">
        <v>2</v>
      </c>
      <c r="C36" s="4">
        <v>680</v>
      </c>
      <c r="D36" s="4"/>
      <c r="E36" s="4">
        <f t="shared" si="9"/>
        <v>799.68</v>
      </c>
      <c r="F36" s="4"/>
      <c r="G36" s="8">
        <f t="shared" si="8"/>
        <v>119.67999999999995</v>
      </c>
      <c r="H36" s="8"/>
      <c r="I36" s="11">
        <f>G36/E36</f>
        <v>0.14965986394557818</v>
      </c>
      <c r="K36">
        <f>K33*K34*K35</f>
        <v>680</v>
      </c>
      <c r="N36">
        <f>N35*0.05</f>
        <v>96</v>
      </c>
    </row>
    <row r="37" spans="2:15" x14ac:dyDescent="0.25">
      <c r="B37" s="2"/>
      <c r="C37" s="4"/>
      <c r="D37" s="4"/>
      <c r="E37" s="4"/>
      <c r="F37" s="4"/>
      <c r="G37" s="8"/>
      <c r="H37" s="8"/>
      <c r="I37" s="11"/>
    </row>
    <row r="38" spans="2:15" ht="15.75" thickBot="1" x14ac:dyDescent="0.3">
      <c r="B38" s="3"/>
      <c r="C38" s="4"/>
      <c r="D38" s="4"/>
      <c r="E38" s="6"/>
      <c r="F38" s="6"/>
      <c r="G38" s="8"/>
      <c r="H38" s="8"/>
      <c r="I38" s="11"/>
    </row>
    <row r="39" spans="2:15" ht="15.75" thickTop="1" x14ac:dyDescent="0.25">
      <c r="B39" s="3" t="s">
        <v>3</v>
      </c>
      <c r="C39" s="7">
        <f>SUM(C32:C38)</f>
        <v>5076</v>
      </c>
      <c r="D39" s="4"/>
      <c r="E39" s="7">
        <f>SUM(E32:E38)</f>
        <v>6619.2960000000003</v>
      </c>
      <c r="F39" s="6"/>
      <c r="G39" s="7">
        <f>SUM(G32:G38)</f>
        <v>1543.2959999999998</v>
      </c>
      <c r="H39" s="6"/>
      <c r="I39" s="11">
        <f>G39/E39</f>
        <v>0.23315107830198253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F10" sqref="F10"/>
    </sheetView>
  </sheetViews>
  <sheetFormatPr defaultRowHeight="15" x14ac:dyDescent="0.25"/>
  <cols>
    <col min="3" max="3" width="30.140625" customWidth="1"/>
    <col min="4" max="4" width="16" style="13" customWidth="1"/>
    <col min="6" max="7" width="10.5703125" bestFit="1" customWidth="1"/>
  </cols>
  <sheetData>
    <row r="4" spans="3:7" x14ac:dyDescent="0.25">
      <c r="C4" s="15" t="s">
        <v>12</v>
      </c>
    </row>
    <row r="6" spans="3:7" x14ac:dyDescent="0.25">
      <c r="C6" t="s">
        <v>16</v>
      </c>
      <c r="D6" s="13">
        <v>4650</v>
      </c>
      <c r="F6" s="13"/>
    </row>
    <row r="7" spans="3:7" x14ac:dyDescent="0.25">
      <c r="C7" t="s">
        <v>13</v>
      </c>
      <c r="D7" s="13">
        <v>-720</v>
      </c>
    </row>
    <row r="8" spans="3:7" x14ac:dyDescent="0.25">
      <c r="C8" t="s">
        <v>14</v>
      </c>
      <c r="D8" s="13">
        <v>-1250</v>
      </c>
    </row>
    <row r="10" spans="3:7" x14ac:dyDescent="0.25">
      <c r="C10" t="s">
        <v>12</v>
      </c>
      <c r="D10" s="13">
        <f>SUM(D6:D9)</f>
        <v>2680</v>
      </c>
      <c r="G10" s="13"/>
    </row>
    <row r="14" spans="3:7" x14ac:dyDescent="0.25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2016-11-21T21:03:40Z</dcterms:modified>
</cp:coreProperties>
</file>