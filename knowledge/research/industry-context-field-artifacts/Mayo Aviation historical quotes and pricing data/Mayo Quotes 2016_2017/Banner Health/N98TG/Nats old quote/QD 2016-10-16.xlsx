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Banner Health\"/>
    </mc:Choice>
  </mc:AlternateContent>
  <bookViews>
    <workbookView xWindow="0" yWindow="0" windowWidth="20490" windowHeight="7530"/>
  </bookViews>
  <sheets>
    <sheet name="Sheet1" sheetId="1" r:id="rId1"/>
    <sheet name="Trade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1" l="1"/>
  <c r="G22" i="1"/>
  <c r="G23" i="1"/>
  <c r="G24" i="1"/>
  <c r="I24" i="1" s="1"/>
  <c r="G25" i="1"/>
  <c r="G26" i="1"/>
  <c r="G27" i="1"/>
  <c r="G28" i="1"/>
  <c r="O6" i="1"/>
  <c r="O7" i="1" s="1"/>
  <c r="M7" i="1"/>
  <c r="E20" i="1"/>
  <c r="G20" i="1" s="1"/>
  <c r="I20" i="1" s="1"/>
  <c r="E21" i="1"/>
  <c r="I21" i="1"/>
  <c r="E22" i="1"/>
  <c r="I22" i="1"/>
  <c r="E23" i="1"/>
  <c r="I23" i="1" s="1"/>
  <c r="I25" i="1"/>
  <c r="E26" i="1"/>
  <c r="I26" i="1" s="1"/>
  <c r="E27" i="1"/>
  <c r="I27" i="1" s="1"/>
  <c r="C31" i="1"/>
  <c r="G31" i="1" l="1"/>
  <c r="E31" i="1"/>
  <c r="C15" i="1"/>
  <c r="E5" i="1"/>
  <c r="G5" i="1" s="1"/>
  <c r="I5" i="1" s="1"/>
  <c r="I31" i="1" l="1"/>
  <c r="D10" i="2"/>
  <c r="E10" i="1" l="1"/>
  <c r="E7" i="1" l="1"/>
  <c r="G7" i="1" s="1"/>
  <c r="I7" i="1" s="1"/>
  <c r="E11" i="1"/>
  <c r="E6" i="1"/>
  <c r="G6" i="1" s="1"/>
  <c r="E15" i="1" l="1"/>
  <c r="G12" i="1"/>
  <c r="I6" i="1" l="1"/>
  <c r="G8" i="1"/>
  <c r="I8" i="1" s="1"/>
  <c r="G9" i="1"/>
  <c r="I9" i="1" s="1"/>
  <c r="G10" i="1"/>
  <c r="I10" i="1" s="1"/>
  <c r="G11" i="1"/>
  <c r="G15" i="1" l="1"/>
  <c r="I15" i="1" s="1"/>
  <c r="I11" i="1"/>
</calcChain>
</file>

<file path=xl/sharedStrings.xml><?xml version="1.0" encoding="utf-8"?>
<sst xmlns="http://schemas.openxmlformats.org/spreadsheetml/2006/main" count="32" uniqueCount="19">
  <si>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</si>
  <si>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</si>
  <si>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</si>
  <si>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</si>
  <si>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</si>
  <si>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</si>
  <si>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</si>
  <si>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</si>
  <si>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</si>
  <si>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Garmin Altitude Encoder(s)</t>
  </si>
  <si>
    <t>Garmin Flight Stream 210</t>
  </si>
  <si>
    <t>Trade In</t>
  </si>
  <si>
    <t>less Flat Rate Cert</t>
  </si>
  <si>
    <t>less 25%</t>
  </si>
  <si>
    <t>Garmin 400W GPS (ILS Price)</t>
  </si>
  <si>
    <t>GTX 335 Transponder</t>
  </si>
  <si>
    <t>GTX 345 Transponder</t>
  </si>
  <si>
    <t>Installation 40 Hrs</t>
  </si>
  <si>
    <t>Installation 50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</si>
</sst>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00"/>
  </numFmts>
  <fonts count="4" x14ac:knownFonts="1">
    <font>
      <sz val="11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44" fontId="2" fillId="0" borderId="0" xfId="0" applyNumberFormat="1" applyFont="1" applyAlignment="1">
      <alignment horizontal="left" indent="1"/>
    </xf>
    <xf numFmtId="0" fontId="0" fillId="0" borderId="0" xfId="0" applyAlignment="1">
      <alignment horizontal="left" indent="1"/>
    </xf>
    <xf numFmtId="44" fontId="2" fillId="0" borderId="0" xfId="0" applyNumberFormat="1" applyFont="1" applyBorder="1" applyAlignment="1">
      <alignment horizontal="left" indent="1"/>
    </xf>
    <xf numFmtId="44" fontId="2" fillId="0" borderId="1" xfId="0" applyNumberFormat="1" applyFont="1" applyBorder="1" applyAlignment="1">
      <alignment horizontal="left" indent="1"/>
    </xf>
    <xf numFmtId="44" fontId="0" fillId="0" borderId="0" xfId="0" applyNumberFormat="1" applyAlignment="1">
      <alignment horizontal="left" indent="1"/>
    </xf>
    <xf numFmtId="0" fontId="1" fillId="0" borderId="0" xfId="0" applyFont="1" applyAlignment="1">
      <alignment horizontal="right" indent="1"/>
    </xf>
    <xf numFmtId="44" fontId="1" fillId="0" borderId="0" xfId="0" applyNumberFormat="1" applyFont="1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right" indent="1"/>
    </xf>
    <xf numFmtId="4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31"/>
  <sheetViews>
    <sheetView tabSelected="1" workbookViewId="0">
      <selection activeCell="L15" sqref="L15"/>
    </sheetView>
  </sheetViews>
  <sheetFormatPr defaultRowHeight="15" x14ac:dyDescent="0.25"/>
  <cols>
    <col min="2" max="2" width="31.42578125" customWidth="1"/>
    <col min="3" max="3" width="22.42578125" style="5" customWidth="1"/>
    <col min="4" max="4" width="2.140625" style="5" customWidth="1"/>
    <col min="5" max="5" width="20.5703125" style="5" customWidth="1"/>
    <col min="6" max="6" width="1.7109375" style="5" customWidth="1"/>
    <col min="7" max="7" width="18.85546875" style="5" customWidth="1"/>
    <col min="8" max="8" width="2" style="5" customWidth="1"/>
    <col min="9" max="9" width="9.140625" style="12"/>
    <col min="13" max="13" width="10.5703125" bestFit="1" customWidth="1"/>
  </cols>
  <sheetData>
    <row r="3" spans="2:15" x14ac:dyDescent="0.25">
      <c r="B3" s="1"/>
      <c r="C3" s="9" t="s">
        <v>4</v>
      </c>
      <c r="D3" s="9"/>
      <c r="E3" s="10" t="s">
        <v>5</v>
      </c>
      <c r="F3" s="10"/>
      <c r="G3" s="9" t="s">
        <v>6</v>
      </c>
      <c r="H3" s="9"/>
      <c r="I3" s="9" t="s">
        <v>7</v>
      </c>
    </row>
    <row r="4" spans="2:15" x14ac:dyDescent="0.25">
      <c r="B4" s="1"/>
      <c r="C4" s="9"/>
      <c r="D4" s="9"/>
      <c r="E4" s="10"/>
      <c r="F4" s="10"/>
      <c r="G4" s="9"/>
      <c r="H4" s="9"/>
      <c r="I4" s="9"/>
      <c r="M4">
        <v>5</v>
      </c>
      <c r="O4">
        <v>50</v>
      </c>
    </row>
    <row r="5" spans="2:15" x14ac:dyDescent="0.25">
      <c r="B5" s="2" t="s">
        <v>9</v>
      </c>
      <c r="C5" s="4">
        <v>420</v>
      </c>
      <c r="D5" s="4"/>
      <c r="E5" s="4">
        <f t="shared" ref="E5" si="0">C5*1.176</f>
        <v>493.91999999999996</v>
      </c>
      <c r="F5" s="4"/>
      <c r="G5" s="8">
        <f t="shared" ref="G5:G6" si="1">E5-C5</f>
        <v>73.919999999999959</v>
      </c>
      <c r="H5" s="8"/>
      <c r="I5" s="11">
        <f t="shared" ref="I5" si="2">G5/E5</f>
        <v>0.14965986394557815</v>
      </c>
      <c r="M5">
        <v>4</v>
      </c>
      <c r="O5">
        <v>45</v>
      </c>
    </row>
    <row r="6" spans="2:15" x14ac:dyDescent="0.25">
      <c r="B6" s="2" t="s">
        <v>15</v>
      </c>
      <c r="C6" s="4">
        <v>2246</v>
      </c>
      <c r="D6" s="4"/>
      <c r="E6" s="4">
        <f>C6*1.176</f>
        <v>2641.2959999999998</v>
      </c>
      <c r="F6" s="4"/>
      <c r="G6" s="8">
        <f t="shared" si="1"/>
        <v>395.29599999999982</v>
      </c>
      <c r="H6" s="8"/>
      <c r="I6" s="11">
        <f t="shared" ref="I6:I7" si="3">G6/E6</f>
        <v>0.14965986394557818</v>
      </c>
      <c r="M6">
        <v>85</v>
      </c>
      <c r="O6">
        <f>O4*O5</f>
        <v>2250</v>
      </c>
    </row>
    <row r="7" spans="2:15" x14ac:dyDescent="0.25">
      <c r="B7" s="2" t="s">
        <v>15</v>
      </c>
      <c r="C7" s="4">
        <v>2246</v>
      </c>
      <c r="D7" s="4"/>
      <c r="E7" s="4">
        <f t="shared" ref="E7:E11" si="4">C7*1.176</f>
        <v>2641.2959999999998</v>
      </c>
      <c r="F7" s="4"/>
      <c r="G7" s="8">
        <f>E7-C7</f>
        <v>395.29599999999982</v>
      </c>
      <c r="H7" s="8"/>
      <c r="I7" s="11">
        <f t="shared" si="3"/>
        <v>0.14965986394557818</v>
      </c>
      <c r="M7">
        <f>M4*M5*M6</f>
        <v>1700</v>
      </c>
      <c r="O7">
        <f>O6*0.05</f>
        <v>112.5</v>
      </c>
    </row>
    <row r="8" spans="2:15" x14ac:dyDescent="0.25">
      <c r="B8" s="2" t="s">
        <v>17</v>
      </c>
      <c r="C8" s="4">
        <v>1800</v>
      </c>
      <c r="D8" s="4"/>
      <c r="E8" s="4">
        <v>3200</v>
      </c>
      <c r="F8" s="4"/>
      <c r="G8" s="8">
        <f t="shared" ref="G8:G12" si="5">E8-C8</f>
        <v>1400</v>
      </c>
      <c r="H8" s="8"/>
      <c r="I8" s="11">
        <f>G8/E8</f>
        <v>0.4375</v>
      </c>
    </row>
    <row r="9" spans="2:15" x14ac:dyDescent="0.25">
      <c r="B9" s="2" t="s">
        <v>0</v>
      </c>
      <c r="C9" s="4">
        <v>150</v>
      </c>
      <c r="D9" s="4"/>
      <c r="E9" s="4">
        <v>150</v>
      </c>
      <c r="F9" s="4"/>
      <c r="G9" s="8">
        <f t="shared" si="5"/>
        <v>0</v>
      </c>
      <c r="H9" s="8"/>
      <c r="I9" s="11">
        <f>G9/E9</f>
        <v>0</v>
      </c>
    </row>
    <row r="10" spans="2:15" x14ac:dyDescent="0.25">
      <c r="B10" s="2" t="s">
        <v>1</v>
      </c>
      <c r="C10" s="4">
        <v>150</v>
      </c>
      <c r="D10" s="4"/>
      <c r="E10" s="4">
        <f t="shared" si="4"/>
        <v>176.39999999999998</v>
      </c>
      <c r="F10" s="4"/>
      <c r="G10" s="8">
        <f t="shared" si="5"/>
        <v>26.399999999999977</v>
      </c>
      <c r="H10" s="8"/>
      <c r="I10" s="11">
        <f>G10/E10</f>
        <v>0.14965986394557812</v>
      </c>
    </row>
    <row r="11" spans="2:15" x14ac:dyDescent="0.25">
      <c r="B11" s="2" t="s">
        <v>2</v>
      </c>
      <c r="C11" s="4">
        <v>1360</v>
      </c>
      <c r="D11" s="4"/>
      <c r="E11" s="4">
        <f t="shared" si="4"/>
        <v>1599.36</v>
      </c>
      <c r="F11" s="4"/>
      <c r="G11" s="8">
        <f t="shared" si="5"/>
        <v>239.3599999999999</v>
      </c>
      <c r="H11" s="8"/>
      <c r="I11" s="11">
        <f>G11/E11</f>
        <v>0.14965986394557818</v>
      </c>
    </row>
    <row r="12" spans="2:15" x14ac:dyDescent="0.25">
      <c r="B12" s="2" t="s">
        <v>8</v>
      </c>
      <c r="C12" s="4">
        <v>0</v>
      </c>
      <c r="D12" s="4"/>
      <c r="E12" s="4"/>
      <c r="F12" s="4"/>
      <c r="G12" s="8">
        <f t="shared" si="5"/>
        <v>0</v>
      </c>
      <c r="H12" s="8"/>
      <c r="I12" s="11"/>
    </row>
    <row r="13" spans="2:15" x14ac:dyDescent="0.25">
      <c r="B13" s="2"/>
      <c r="C13" s="4"/>
      <c r="D13" s="4"/>
      <c r="E13" s="4"/>
      <c r="F13" s="4"/>
      <c r="G13" s="8"/>
      <c r="H13" s="8"/>
      <c r="I13" s="11"/>
    </row>
    <row r="14" spans="2:15" ht="15.75" thickBot="1" x14ac:dyDescent="0.3">
      <c r="B14" s="3"/>
      <c r="C14" s="4"/>
      <c r="D14" s="4"/>
      <c r="E14" s="6"/>
      <c r="F14" s="6"/>
      <c r="G14" s="8"/>
      <c r="H14" s="8"/>
      <c r="I14" s="11"/>
    </row>
    <row r="15" spans="2:15" ht="15.75" thickTop="1" x14ac:dyDescent="0.25">
      <c r="B15" s="3" t="s">
        <v>3</v>
      </c>
      <c r="C15" s="7">
        <f>SUM(C5:C14)</f>
        <v>8372</v>
      </c>
      <c r="D15" s="4"/>
      <c r="E15" s="7">
        <f>SUM(E5:E14)</f>
        <v>10902.271999999999</v>
      </c>
      <c r="F15" s="6"/>
      <c r="G15" s="7">
        <f>SUM(G5:G14)</f>
        <v>2530.2719999999999</v>
      </c>
      <c r="H15" s="6"/>
      <c r="I15" s="11">
        <f>G15/E15</f>
        <v>0.23208666964097027</v>
      </c>
    </row>
    <row r="17" spans="2:9" x14ac:dyDescent="0.25">
      <c r="B17" s="14"/>
      <c r="C17" s="4"/>
      <c r="D17" s="4"/>
      <c r="E17" s="4"/>
      <c r="F17" s="4"/>
      <c r="G17" s="8"/>
      <c r="H17" s="8"/>
      <c r="I17" s="11"/>
    </row>
    <row r="18" spans="2:9" x14ac:dyDescent="0.25">
      <c r="B18" s="1"/>
      <c r="C18" s="9" t="s">
        <v>4</v>
      </c>
      <c r="D18" s="9"/>
      <c r="E18" s="10" t="s">
        <v>5</v>
      </c>
      <c r="F18" s="10"/>
      <c r="G18" s="9" t="s">
        <v>6</v>
      </c>
      <c r="H18" s="9"/>
      <c r="I18" s="9" t="s">
        <v>7</v>
      </c>
    </row>
    <row r="19" spans="2:9" x14ac:dyDescent="0.25">
      <c r="B19" s="1"/>
      <c r="C19" s="9"/>
      <c r="D19" s="9"/>
      <c r="E19" s="10"/>
      <c r="F19" s="10"/>
      <c r="G19" s="9"/>
      <c r="H19" s="9"/>
      <c r="I19" s="9"/>
    </row>
    <row r="20" spans="2:9" x14ac:dyDescent="0.25">
      <c r="B20" s="2" t="s">
        <v>9</v>
      </c>
      <c r="C20" s="4">
        <v>420</v>
      </c>
      <c r="D20" s="4"/>
      <c r="E20" s="4">
        <f t="shared" ref="E20" si="6">C20*1.176</f>
        <v>493.91999999999996</v>
      </c>
      <c r="F20" s="4"/>
      <c r="G20" s="8">
        <f t="shared" ref="G20:G28" si="7">E20-C20</f>
        <v>73.919999999999959</v>
      </c>
      <c r="H20" s="8"/>
      <c r="I20" s="11">
        <f t="shared" ref="I20:I22" si="8">G20/E20</f>
        <v>0.14965986394557815</v>
      </c>
    </row>
    <row r="21" spans="2:9" x14ac:dyDescent="0.25">
      <c r="B21" s="2" t="s">
        <v>16</v>
      </c>
      <c r="C21" s="4">
        <v>3746</v>
      </c>
      <c r="D21" s="4"/>
      <c r="E21" s="4">
        <f>C21*1.176</f>
        <v>4405.2959999999994</v>
      </c>
      <c r="F21" s="4"/>
      <c r="G21" s="8">
        <f t="shared" si="7"/>
        <v>659.29599999999937</v>
      </c>
      <c r="H21" s="8"/>
      <c r="I21" s="11">
        <f t="shared" si="8"/>
        <v>0.14965986394557812</v>
      </c>
    </row>
    <row r="22" spans="2:9" x14ac:dyDescent="0.25">
      <c r="B22" s="2" t="s">
        <v>16</v>
      </c>
      <c r="C22" s="4">
        <v>3746</v>
      </c>
      <c r="D22" s="4"/>
      <c r="E22" s="4">
        <f t="shared" ref="E22" si="9">C22*1.176</f>
        <v>4405.2959999999994</v>
      </c>
      <c r="F22" s="4"/>
      <c r="G22" s="8">
        <f t="shared" si="7"/>
        <v>659.29599999999937</v>
      </c>
      <c r="H22" s="8"/>
      <c r="I22" s="11">
        <f t="shared" si="8"/>
        <v>0.14965986394557812</v>
      </c>
    </row>
    <row r="23" spans="2:9" x14ac:dyDescent="0.25">
      <c r="B23" s="2" t="s">
        <v>10</v>
      </c>
      <c r="C23" s="4">
        <v>749</v>
      </c>
      <c r="D23" s="4"/>
      <c r="E23" s="4">
        <f t="shared" ref="E23" si="10">C23*1.176</f>
        <v>880.82399999999996</v>
      </c>
      <c r="F23" s="4"/>
      <c r="G23" s="8">
        <f t="shared" si="7"/>
        <v>131.82399999999996</v>
      </c>
      <c r="H23" s="8"/>
      <c r="I23" s="11">
        <f t="shared" ref="I23" si="11">G23/E23</f>
        <v>0.14965986394557818</v>
      </c>
    </row>
    <row r="24" spans="2:9" x14ac:dyDescent="0.25">
      <c r="B24" s="2" t="s">
        <v>18</v>
      </c>
      <c r="C24" s="4">
        <v>2250</v>
      </c>
      <c r="D24" s="4"/>
      <c r="E24" s="4">
        <v>4000</v>
      </c>
      <c r="F24" s="4"/>
      <c r="G24" s="8">
        <f t="shared" si="7"/>
        <v>1750</v>
      </c>
      <c r="H24" s="8"/>
      <c r="I24" s="11">
        <f>G24/E24</f>
        <v>0.4375</v>
      </c>
    </row>
    <row r="25" spans="2:9" x14ac:dyDescent="0.25">
      <c r="B25" s="2" t="s">
        <v>0</v>
      </c>
      <c r="C25" s="4">
        <v>150</v>
      </c>
      <c r="D25" s="4"/>
      <c r="E25" s="4">
        <v>150</v>
      </c>
      <c r="F25" s="4"/>
      <c r="G25" s="8">
        <f t="shared" si="7"/>
        <v>0</v>
      </c>
      <c r="H25" s="8"/>
      <c r="I25" s="11">
        <f>G25/E25</f>
        <v>0</v>
      </c>
    </row>
    <row r="26" spans="2:9" x14ac:dyDescent="0.25">
      <c r="B26" s="2" t="s">
        <v>1</v>
      </c>
      <c r="C26" s="4">
        <v>200</v>
      </c>
      <c r="D26" s="4"/>
      <c r="E26" s="4">
        <f t="shared" ref="E26:E27" si="12">C26*1.176</f>
        <v>235.2</v>
      </c>
      <c r="F26" s="4"/>
      <c r="G26" s="8">
        <f t="shared" si="7"/>
        <v>35.199999999999989</v>
      </c>
      <c r="H26" s="8"/>
      <c r="I26" s="11">
        <f>G26/E26</f>
        <v>0.1496598639455782</v>
      </c>
    </row>
    <row r="27" spans="2:9" x14ac:dyDescent="0.25">
      <c r="B27" s="2" t="s">
        <v>2</v>
      </c>
      <c r="C27" s="4">
        <v>1700</v>
      </c>
      <c r="D27" s="4"/>
      <c r="E27" s="4">
        <f t="shared" si="12"/>
        <v>1999.1999999999998</v>
      </c>
      <c r="F27" s="4"/>
      <c r="G27" s="8">
        <f t="shared" si="7"/>
        <v>299.19999999999982</v>
      </c>
      <c r="H27" s="8"/>
      <c r="I27" s="11">
        <f>G27/E27</f>
        <v>0.14965986394557815</v>
      </c>
    </row>
    <row r="28" spans="2:9" x14ac:dyDescent="0.25">
      <c r="B28" s="2" t="s">
        <v>8</v>
      </c>
      <c r="C28" s="4">
        <v>0</v>
      </c>
      <c r="D28" s="4"/>
      <c r="E28" s="4"/>
      <c r="F28" s="4"/>
      <c r="G28" s="8">
        <f t="shared" si="7"/>
        <v>0</v>
      </c>
      <c r="H28" s="8"/>
      <c r="I28" s="11"/>
    </row>
    <row r="29" spans="2:9" x14ac:dyDescent="0.25">
      <c r="B29" s="2"/>
      <c r="C29" s="4"/>
      <c r="D29" s="4"/>
      <c r="E29" s="4"/>
      <c r="F29" s="4"/>
      <c r="G29" s="8"/>
      <c r="H29" s="8"/>
      <c r="I29" s="11"/>
    </row>
    <row r="30" spans="2:9" ht="15.75" thickBot="1" x14ac:dyDescent="0.3">
      <c r="B30" s="3"/>
      <c r="C30" s="4"/>
      <c r="D30" s="4"/>
      <c r="E30" s="6"/>
      <c r="F30" s="6"/>
      <c r="G30" s="8"/>
      <c r="H30" s="8"/>
      <c r="I30" s="11"/>
    </row>
    <row r="31" spans="2:9" ht="15.75" thickTop="1" x14ac:dyDescent="0.25">
      <c r="B31" s="3" t="s">
        <v>3</v>
      </c>
      <c r="C31" s="7">
        <f>SUM(C20:C30)</f>
        <v>12961</v>
      </c>
      <c r="D31" s="4"/>
      <c r="E31" s="7">
        <f>SUM(E20:E30)</f>
        <v>16569.736000000001</v>
      </c>
      <c r="F31" s="6"/>
      <c r="G31" s="7">
        <f>SUM(G20:G30)</f>
        <v>3608.7359999999985</v>
      </c>
      <c r="H31" s="6"/>
      <c r="I31" s="11">
        <f>G31/E31</f>
        <v>0.21779079642548307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G14"/>
  <sheetViews>
    <sheetView workbookViewId="0">
      <selection activeCell="F10" sqref="F10"/>
    </sheetView>
  </sheetViews>
  <sheetFormatPr defaultRowHeight="15" x14ac:dyDescent="0.25"/>
  <cols>
    <col min="3" max="3" width="30.140625" customWidth="1"/>
    <col min="4" max="4" width="16" style="13" customWidth="1"/>
    <col min="6" max="7" width="10.5703125" bestFit="1" customWidth="1"/>
  </cols>
  <sheetData>
    <row r="4" spans="3:7" x14ac:dyDescent="0.25">
      <c r="C4" s="15" t="s">
        <v>11</v>
      </c>
    </row>
    <row r="6" spans="3:7" x14ac:dyDescent="0.25">
      <c r="C6" t="s">
        <v>14</v>
      </c>
      <c r="D6" s="13">
        <v>4650</v>
      </c>
      <c r="F6" s="13"/>
    </row>
    <row r="7" spans="3:7" x14ac:dyDescent="0.25">
      <c r="C7" t="s">
        <v>12</v>
      </c>
      <c r="D7" s="13">
        <v>-720</v>
      </c>
    </row>
    <row r="8" spans="3:7" x14ac:dyDescent="0.25">
      <c r="C8" t="s">
        <v>13</v>
      </c>
      <c r="D8" s="13">
        <v>-1250</v>
      </c>
    </row>
    <row r="10" spans="3:7" x14ac:dyDescent="0.25">
      <c r="C10" t="s">
        <v>11</v>
      </c>
      <c r="D10" s="13">
        <f>SUM(D6:D9)</f>
        <v>2680</v>
      </c>
      <c r="G10" s="13"/>
    </row>
    <row r="14" spans="3:7" x14ac:dyDescent="0.25">
      <c r="G1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2016-10-27T16:55:18Z</dcterms:modified>
</cp:coreProperties>
</file>