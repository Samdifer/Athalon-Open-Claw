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Towhaul\"/>
    </mc:Choice>
  </mc:AlternateContent>
  <bookViews>
    <workbookView xWindow="0" yWindow="0" windowWidth="20490" windowHeight="7530"/>
  </bookViews>
  <sheets>
    <sheet name="Sheet1 (2)" sheetId="3" r:id="rId1"/>
    <sheet name="Sheet1" sheetId="1" r:id="rId2"/>
    <sheet name="Sheet2" sheetId="2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7" i="3" l="1"/>
  <c r="Q38" i="3"/>
  <c r="Q39" i="3"/>
  <c r="Q36" i="3"/>
  <c r="Q33" i="3"/>
  <c r="P33" i="3"/>
  <c r="M24" i="3"/>
  <c r="C30" i="3"/>
  <c r="G25" i="3"/>
  <c r="I25" i="3" s="1"/>
  <c r="G24" i="3"/>
  <c r="I24" i="3" s="1"/>
  <c r="G23" i="3"/>
  <c r="I22" i="3"/>
  <c r="C15" i="3"/>
  <c r="E12" i="3"/>
  <c r="G12" i="3" s="1"/>
  <c r="E11" i="3"/>
  <c r="G11" i="3" s="1"/>
  <c r="I11" i="3" s="1"/>
  <c r="E10" i="3"/>
  <c r="G10" i="3" s="1"/>
  <c r="I10" i="3" s="1"/>
  <c r="G9" i="3"/>
  <c r="I9" i="3" s="1"/>
  <c r="L8" i="3"/>
  <c r="G8" i="3"/>
  <c r="I8" i="3" s="1"/>
  <c r="O7" i="3"/>
  <c r="E7" i="3"/>
  <c r="G7" i="3" s="1"/>
  <c r="I7" i="3" s="1"/>
  <c r="E6" i="3"/>
  <c r="G6" i="3" s="1"/>
  <c r="I6" i="3" s="1"/>
  <c r="E5" i="3"/>
  <c r="E15" i="3" l="1"/>
  <c r="G5" i="3"/>
  <c r="I5" i="3" s="1"/>
  <c r="E30" i="3"/>
  <c r="I23" i="3"/>
  <c r="G30" i="3"/>
  <c r="G15" i="3"/>
  <c r="E22" i="1"/>
  <c r="I15" i="3" l="1"/>
  <c r="I30" i="3"/>
  <c r="C15" i="1"/>
  <c r="C33" i="1"/>
  <c r="G22" i="1"/>
  <c r="I22" i="1" s="1"/>
  <c r="E5" i="1"/>
  <c r="E10" i="1"/>
  <c r="E28" i="1"/>
  <c r="G28" i="1" s="1"/>
  <c r="I28" i="1" s="1"/>
  <c r="G27" i="1"/>
  <c r="I27" i="1" s="1"/>
  <c r="G30" i="1"/>
  <c r="E30" i="1"/>
  <c r="E29" i="1"/>
  <c r="G29" i="1" s="1"/>
  <c r="I29" i="1" s="1"/>
  <c r="G26" i="1"/>
  <c r="I26" i="1" s="1"/>
  <c r="E25" i="1"/>
  <c r="G25" i="1" s="1"/>
  <c r="I25" i="1" s="1"/>
  <c r="E24" i="1"/>
  <c r="G24" i="1" s="1"/>
  <c r="I24" i="1" s="1"/>
  <c r="E23" i="1"/>
  <c r="G5" i="1"/>
  <c r="I5" i="1" s="1"/>
  <c r="E33" i="1" l="1"/>
  <c r="G23" i="1"/>
  <c r="G33" i="1" s="1"/>
  <c r="O7" i="1"/>
  <c r="E7" i="1"/>
  <c r="E11" i="1"/>
  <c r="E12" i="1"/>
  <c r="L8" i="1"/>
  <c r="G7" i="1"/>
  <c r="I7" i="1" s="1"/>
  <c r="E6" i="1"/>
  <c r="G6" i="1" l="1"/>
  <c r="E15" i="1"/>
  <c r="I33" i="1"/>
  <c r="I23" i="1"/>
  <c r="G12" i="1"/>
  <c r="I6" i="1" l="1"/>
  <c r="G8" i="1"/>
  <c r="I8" i="1" s="1"/>
  <c r="G9" i="1"/>
  <c r="I9" i="1" s="1"/>
  <c r="G10" i="1"/>
  <c r="I10" i="1" s="1"/>
  <c r="G11" i="1"/>
  <c r="I11" i="1" s="1"/>
  <c r="G15" i="1" l="1"/>
  <c r="I15" i="1" s="1"/>
</calcChain>
</file>

<file path=xl/sharedStrings.xml><?xml version="1.0" encoding="utf-8"?>
<sst xmlns="http://schemas.openxmlformats.org/spreadsheetml/2006/main" count="60" uniqueCount="25">
  <si>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</si>
  <si>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</si>
  <si>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</si>
  <si>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</si>
  <si>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</si>
  <si>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</si>
  <si>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</si>
  <si>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</si>
  <si>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</si>
  <si>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</si>
  <si>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Hrs/ Per</t>
  </si>
  <si>
    <t>Cost / Hr</t>
  </si>
  <si>
    <t>Installation 50 Hrs</t>
  </si>
  <si>
    <t>Garmin Altitude Encoder(s)</t>
  </si>
  <si>
    <t>Garmin Flight Stream 210</t>
  </si>
  <si>
    <t>Installation 60 Hrs</t>
  </si>
  <si>
    <t>GTX 345R Transponder</t>
  </si>
  <si>
    <t>GTX 335R Transponder</t>
  </si>
  <si>
    <t>Hot Section</t>
  </si>
  <si>
    <t xml:space="preserve">Disassembly &amp; Reassembly </t>
  </si>
  <si>
    <t>Disassembly &amp; Reassembly  35Hrs</t>
  </si>
  <si>
    <t>Inspection &amp; Repair (Labor)</t>
  </si>
  <si>
    <t>Inspection &amp; Repair (Parts)</t>
  </si>
  <si>
    <t>QC Inspction (6Hrs)</t>
  </si>
  <si>
    <t>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</si>
</sst>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3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39"/>
  <sheetViews>
    <sheetView tabSelected="1" topLeftCell="B17" workbookViewId="0">
      <selection activeCell="P28" sqref="P28"/>
    </sheetView>
  </sheetViews>
  <sheetFormatPr defaultRowHeight="15" x14ac:dyDescent="0.25"/>
  <cols>
    <col min="2" max="2" width="31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9.140625" style="12"/>
    <col min="11" max="11" width="11.5703125" bestFit="1" customWidth="1"/>
  </cols>
  <sheetData>
    <row r="3" spans="2:15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5" x14ac:dyDescent="0.25">
      <c r="B4" s="1"/>
      <c r="C4" s="9"/>
      <c r="D4" s="9"/>
      <c r="E4" s="10"/>
      <c r="F4" s="10"/>
      <c r="G4" s="9"/>
      <c r="H4" s="9"/>
      <c r="I4" s="9"/>
    </row>
    <row r="5" spans="2:15" x14ac:dyDescent="0.25">
      <c r="B5" s="2" t="s">
        <v>13</v>
      </c>
      <c r="C5" s="4">
        <v>420</v>
      </c>
      <c r="D5" s="4"/>
      <c r="E5" s="4">
        <f>C5*1.176</f>
        <v>493.91999999999996</v>
      </c>
      <c r="F5" s="4"/>
      <c r="G5" s="8">
        <f>E5-C5</f>
        <v>73.919999999999959</v>
      </c>
      <c r="H5" s="8"/>
      <c r="I5" s="11">
        <f t="shared" ref="I5:I7" si="0">G5/E5</f>
        <v>0.14965986394557815</v>
      </c>
      <c r="K5" s="13"/>
      <c r="L5">
        <v>3</v>
      </c>
      <c r="M5" t="s">
        <v>9</v>
      </c>
      <c r="O5">
        <v>60</v>
      </c>
    </row>
    <row r="6" spans="2:15" x14ac:dyDescent="0.25">
      <c r="B6" s="2" t="s">
        <v>17</v>
      </c>
      <c r="C6" s="4">
        <v>2246</v>
      </c>
      <c r="D6" s="4"/>
      <c r="E6" s="4">
        <f>C6*1.176</f>
        <v>2641.2959999999998</v>
      </c>
      <c r="F6" s="4"/>
      <c r="G6" s="8">
        <f>E6-C6</f>
        <v>395.29599999999982</v>
      </c>
      <c r="H6" s="8"/>
      <c r="I6" s="11">
        <f t="shared" si="0"/>
        <v>0.14965986394557818</v>
      </c>
      <c r="L6">
        <v>4</v>
      </c>
      <c r="M6" t="s">
        <v>10</v>
      </c>
      <c r="O6">
        <v>85</v>
      </c>
    </row>
    <row r="7" spans="2:15" x14ac:dyDescent="0.25">
      <c r="B7" s="2" t="s">
        <v>17</v>
      </c>
      <c r="C7" s="4">
        <v>2246</v>
      </c>
      <c r="D7" s="4"/>
      <c r="E7" s="4">
        <f t="shared" ref="E7:E12" si="1">C7*1.176</f>
        <v>2641.2959999999998</v>
      </c>
      <c r="F7" s="4"/>
      <c r="G7" s="8">
        <f>E7-C7</f>
        <v>395.29599999999982</v>
      </c>
      <c r="H7" s="8"/>
      <c r="I7" s="11">
        <f t="shared" si="0"/>
        <v>0.14965986394557818</v>
      </c>
      <c r="L7">
        <v>85</v>
      </c>
      <c r="M7" t="s">
        <v>11</v>
      </c>
      <c r="O7">
        <f>O5*O6</f>
        <v>5100</v>
      </c>
    </row>
    <row r="8" spans="2:15" x14ac:dyDescent="0.25">
      <c r="B8" s="2" t="s">
        <v>12</v>
      </c>
      <c r="C8" s="4">
        <v>2250</v>
      </c>
      <c r="D8" s="4"/>
      <c r="E8" s="4">
        <v>4000</v>
      </c>
      <c r="F8" s="4"/>
      <c r="G8" s="8">
        <f t="shared" ref="G8:G12" si="2">E8-C8</f>
        <v>1750</v>
      </c>
      <c r="H8" s="8"/>
      <c r="I8" s="11">
        <f>G8/E8</f>
        <v>0.4375</v>
      </c>
      <c r="L8">
        <f>L5*L6*L7</f>
        <v>1020</v>
      </c>
      <c r="M8" t="s">
        <v>3</v>
      </c>
    </row>
    <row r="9" spans="2:15" x14ac:dyDescent="0.25">
      <c r="B9" s="2" t="s">
        <v>0</v>
      </c>
      <c r="C9" s="4">
        <v>125</v>
      </c>
      <c r="D9" s="4"/>
      <c r="E9" s="4">
        <v>125</v>
      </c>
      <c r="F9" s="4"/>
      <c r="G9" s="8">
        <f t="shared" si="2"/>
        <v>0</v>
      </c>
      <c r="H9" s="8"/>
      <c r="I9" s="11">
        <f>G9/E9</f>
        <v>0</v>
      </c>
    </row>
    <row r="10" spans="2:15" x14ac:dyDescent="0.25">
      <c r="B10" s="2" t="s">
        <v>1</v>
      </c>
      <c r="C10" s="4">
        <v>500</v>
      </c>
      <c r="D10" s="4"/>
      <c r="E10" s="4">
        <f t="shared" si="1"/>
        <v>588</v>
      </c>
      <c r="F10" s="4"/>
      <c r="G10" s="8">
        <f t="shared" si="2"/>
        <v>88</v>
      </c>
      <c r="H10" s="8"/>
      <c r="I10" s="11">
        <f>G10/E10</f>
        <v>0.14965986394557823</v>
      </c>
    </row>
    <row r="11" spans="2:15" x14ac:dyDescent="0.25">
      <c r="B11" s="2" t="s">
        <v>2</v>
      </c>
      <c r="C11" s="4">
        <v>1050</v>
      </c>
      <c r="D11" s="4"/>
      <c r="E11" s="4">
        <f t="shared" si="1"/>
        <v>1234.8</v>
      </c>
      <c r="F11" s="4"/>
      <c r="G11" s="8">
        <f t="shared" si="2"/>
        <v>184.79999999999995</v>
      </c>
      <c r="H11" s="8"/>
      <c r="I11" s="11">
        <f>G11/E11</f>
        <v>0.1496598639455782</v>
      </c>
    </row>
    <row r="12" spans="2:15" x14ac:dyDescent="0.25">
      <c r="B12" s="2" t="s">
        <v>8</v>
      </c>
      <c r="C12" s="4">
        <v>0</v>
      </c>
      <c r="D12" s="4"/>
      <c r="E12" s="4">
        <f t="shared" si="1"/>
        <v>0</v>
      </c>
      <c r="F12" s="4"/>
      <c r="G12" s="8">
        <f t="shared" si="2"/>
        <v>0</v>
      </c>
      <c r="H12" s="8"/>
      <c r="I12" s="11"/>
    </row>
    <row r="13" spans="2:15" x14ac:dyDescent="0.25">
      <c r="B13" s="2"/>
      <c r="C13" s="4"/>
      <c r="D13" s="4"/>
      <c r="E13" s="4"/>
      <c r="F13" s="4"/>
      <c r="G13" s="8"/>
      <c r="H13" s="8"/>
      <c r="I13" s="11"/>
    </row>
    <row r="14" spans="2:15" ht="15.75" thickBot="1" x14ac:dyDescent="0.3">
      <c r="B14" s="3"/>
      <c r="C14" s="4"/>
      <c r="D14" s="4"/>
      <c r="E14" s="6"/>
      <c r="F14" s="6"/>
      <c r="G14" s="8"/>
      <c r="H14" s="8"/>
      <c r="I14" s="11"/>
    </row>
    <row r="15" spans="2:15" ht="15.75" thickTop="1" x14ac:dyDescent="0.25">
      <c r="B15" s="3" t="s">
        <v>3</v>
      </c>
      <c r="C15" s="7">
        <f>SUM(C5:C14)</f>
        <v>8837</v>
      </c>
      <c r="D15" s="4"/>
      <c r="E15" s="7">
        <f>SUM(E5:E14)</f>
        <v>11724.311999999998</v>
      </c>
      <c r="F15" s="6"/>
      <c r="G15" s="7">
        <f>SUM(G5:G14)</f>
        <v>2887.3119999999999</v>
      </c>
      <c r="H15" s="6"/>
      <c r="I15" s="11">
        <f>G15/E15</f>
        <v>0.24626707307004456</v>
      </c>
    </row>
    <row r="20" spans="2:17" x14ac:dyDescent="0.25">
      <c r="B20" s="1"/>
      <c r="C20" s="9" t="s">
        <v>4</v>
      </c>
      <c r="D20" s="9"/>
      <c r="E20" s="10" t="s">
        <v>5</v>
      </c>
      <c r="F20" s="10"/>
      <c r="G20" s="9" t="s">
        <v>6</v>
      </c>
      <c r="H20" s="9"/>
      <c r="I20" s="9" t="s">
        <v>7</v>
      </c>
    </row>
    <row r="21" spans="2:17" x14ac:dyDescent="0.25">
      <c r="B21" s="1"/>
      <c r="C21" s="9"/>
      <c r="D21" s="9"/>
      <c r="E21" s="10"/>
      <c r="F21" s="10"/>
      <c r="G21" s="9"/>
      <c r="H21" s="9"/>
      <c r="I21" s="9"/>
    </row>
    <row r="22" spans="2:17" x14ac:dyDescent="0.25">
      <c r="B22" t="s">
        <v>20</v>
      </c>
      <c r="C22" s="4">
        <v>1890</v>
      </c>
      <c r="D22" s="4"/>
      <c r="E22" s="4">
        <v>5525</v>
      </c>
      <c r="F22" s="4"/>
      <c r="G22" s="8">
        <v>3696</v>
      </c>
      <c r="H22" s="8"/>
      <c r="I22" s="11">
        <f t="shared" ref="I22:I25" si="3">G22/E22</f>
        <v>0.66895927601809957</v>
      </c>
      <c r="M22">
        <v>6</v>
      </c>
      <c r="P22">
        <v>600</v>
      </c>
      <c r="Q22">
        <v>750</v>
      </c>
    </row>
    <row r="23" spans="2:17" x14ac:dyDescent="0.25">
      <c r="B23" s="2" t="s">
        <v>21</v>
      </c>
      <c r="C23" s="4">
        <v>3500</v>
      </c>
      <c r="D23" s="4"/>
      <c r="E23" s="4">
        <v>4120</v>
      </c>
      <c r="F23" s="4"/>
      <c r="G23" s="8">
        <f>E23-C23</f>
        <v>620</v>
      </c>
      <c r="H23" s="8"/>
      <c r="I23" s="11">
        <f t="shared" si="3"/>
        <v>0.15048543689320387</v>
      </c>
      <c r="M23">
        <v>99</v>
      </c>
      <c r="P23">
        <v>1250</v>
      </c>
      <c r="Q23">
        <v>1520</v>
      </c>
    </row>
    <row r="24" spans="2:17" x14ac:dyDescent="0.25">
      <c r="B24" s="2" t="s">
        <v>22</v>
      </c>
      <c r="C24" s="4">
        <v>6800</v>
      </c>
      <c r="D24" s="4"/>
      <c r="E24" s="4">
        <v>8650</v>
      </c>
      <c r="F24" s="4"/>
      <c r="G24" s="8">
        <f>E24-C24</f>
        <v>1850</v>
      </c>
      <c r="H24" s="8"/>
      <c r="I24" s="11">
        <f t="shared" si="3"/>
        <v>0.2138728323699422</v>
      </c>
      <c r="M24">
        <f>M22*M23</f>
        <v>594</v>
      </c>
      <c r="P24">
        <v>1650</v>
      </c>
      <c r="Q24">
        <v>1850</v>
      </c>
    </row>
    <row r="25" spans="2:17" x14ac:dyDescent="0.25">
      <c r="B25" s="2" t="s">
        <v>23</v>
      </c>
      <c r="C25" s="4">
        <v>270</v>
      </c>
      <c r="D25" s="4"/>
      <c r="E25" s="4">
        <v>594</v>
      </c>
      <c r="F25" s="4"/>
      <c r="G25" s="8">
        <f>E25-C25</f>
        <v>324</v>
      </c>
      <c r="H25" s="8"/>
      <c r="I25" s="11">
        <f t="shared" si="3"/>
        <v>0.54545454545454541</v>
      </c>
    </row>
    <row r="26" spans="2:17" x14ac:dyDescent="0.25">
      <c r="B26" s="2" t="s">
        <v>24</v>
      </c>
      <c r="C26" s="4"/>
      <c r="D26" s="4"/>
      <c r="E26" s="4">
        <v>225</v>
      </c>
      <c r="F26" s="4"/>
      <c r="G26" s="8"/>
      <c r="H26" s="8"/>
      <c r="I26" s="11"/>
    </row>
    <row r="27" spans="2:17" x14ac:dyDescent="0.25">
      <c r="B27" s="2"/>
      <c r="C27" s="4"/>
      <c r="D27" s="4"/>
      <c r="E27" s="4"/>
      <c r="F27" s="4"/>
      <c r="G27" s="8"/>
      <c r="H27" s="8"/>
      <c r="I27" s="11"/>
    </row>
    <row r="28" spans="2:17" x14ac:dyDescent="0.25">
      <c r="B28" s="2"/>
      <c r="C28" s="4"/>
      <c r="D28" s="4"/>
      <c r="E28" s="4"/>
      <c r="F28" s="4"/>
      <c r="G28" s="8"/>
      <c r="H28" s="8"/>
      <c r="I28" s="11"/>
    </row>
    <row r="29" spans="2:17" ht="15.75" thickBot="1" x14ac:dyDescent="0.3">
      <c r="B29" s="3"/>
      <c r="C29" s="4"/>
      <c r="D29" s="4"/>
      <c r="E29" s="6"/>
      <c r="F29" s="6"/>
      <c r="G29" s="8"/>
      <c r="H29" s="8"/>
      <c r="I29" s="11"/>
      <c r="P29">
        <v>6000</v>
      </c>
      <c r="Q29">
        <v>7400</v>
      </c>
    </row>
    <row r="30" spans="2:17" ht="15.75" thickTop="1" x14ac:dyDescent="0.25">
      <c r="B30" s="3" t="s">
        <v>3</v>
      </c>
      <c r="C30" s="7">
        <f>SUM(C22:C29)</f>
        <v>12460</v>
      </c>
      <c r="D30" s="4"/>
      <c r="E30" s="7">
        <f>SUM(E22:E29)</f>
        <v>19114</v>
      </c>
      <c r="F30" s="6"/>
      <c r="G30" s="7">
        <f>SUM(G22:G29)</f>
        <v>6490</v>
      </c>
      <c r="H30" s="6"/>
      <c r="I30" s="11">
        <f>G30/E30</f>
        <v>0.33954169718530919</v>
      </c>
      <c r="L30" s="13"/>
      <c r="P30">
        <v>200</v>
      </c>
      <c r="Q30">
        <v>400</v>
      </c>
    </row>
    <row r="31" spans="2:17" x14ac:dyDescent="0.25">
      <c r="P31">
        <v>700</v>
      </c>
      <c r="Q31">
        <v>850</v>
      </c>
    </row>
    <row r="33" spans="16:17" x14ac:dyDescent="0.25">
      <c r="P33">
        <f>SUM(P29:P31)</f>
        <v>6900</v>
      </c>
      <c r="Q33">
        <f>SUM(Q29:Q31)</f>
        <v>8650</v>
      </c>
    </row>
    <row r="36" spans="16:17" x14ac:dyDescent="0.25">
      <c r="P36">
        <v>13850</v>
      </c>
      <c r="Q36">
        <f>SUM(P36*1.176)</f>
        <v>16287.599999999999</v>
      </c>
    </row>
    <row r="37" spans="16:17" x14ac:dyDescent="0.25">
      <c r="P37">
        <v>80000</v>
      </c>
      <c r="Q37">
        <f t="shared" ref="Q37:Q39" si="4">SUM(P37*1.176)</f>
        <v>94080</v>
      </c>
    </row>
    <row r="38" spans="16:17" x14ac:dyDescent="0.25">
      <c r="P38">
        <v>2000</v>
      </c>
      <c r="Q38">
        <f t="shared" si="4"/>
        <v>2352</v>
      </c>
    </row>
    <row r="39" spans="16:17" x14ac:dyDescent="0.25">
      <c r="P39">
        <v>375</v>
      </c>
      <c r="Q39">
        <f t="shared" si="4"/>
        <v>441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33"/>
  <sheetViews>
    <sheetView topLeftCell="A19" workbookViewId="0">
      <selection activeCell="E33" sqref="E33"/>
    </sheetView>
  </sheetViews>
  <sheetFormatPr defaultRowHeight="15" x14ac:dyDescent="0.25"/>
  <cols>
    <col min="2" max="2" width="31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9.140625" style="12"/>
    <col min="11" max="11" width="11.5703125" bestFit="1" customWidth="1"/>
  </cols>
  <sheetData>
    <row r="3" spans="2:15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5" x14ac:dyDescent="0.25">
      <c r="B4" s="1"/>
      <c r="C4" s="9"/>
      <c r="D4" s="9"/>
      <c r="E4" s="10"/>
      <c r="F4" s="10"/>
      <c r="G4" s="9"/>
      <c r="H4" s="9"/>
      <c r="I4" s="9"/>
    </row>
    <row r="5" spans="2:15" x14ac:dyDescent="0.25">
      <c r="B5" s="2" t="s">
        <v>13</v>
      </c>
      <c r="C5" s="4">
        <v>420</v>
      </c>
      <c r="D5" s="4"/>
      <c r="E5" s="4">
        <f>C5*1.176</f>
        <v>493.91999999999996</v>
      </c>
      <c r="F5" s="4"/>
      <c r="G5" s="8">
        <f>E5-C5</f>
        <v>73.919999999999959</v>
      </c>
      <c r="H5" s="8"/>
      <c r="I5" s="11">
        <f t="shared" ref="I5:I7" si="0">G5/E5</f>
        <v>0.14965986394557815</v>
      </c>
      <c r="K5" s="13"/>
      <c r="L5">
        <v>3</v>
      </c>
      <c r="M5" t="s">
        <v>9</v>
      </c>
      <c r="O5">
        <v>60</v>
      </c>
    </row>
    <row r="6" spans="2:15" x14ac:dyDescent="0.25">
      <c r="B6" s="2" t="s">
        <v>17</v>
      </c>
      <c r="C6" s="4">
        <v>2246</v>
      </c>
      <c r="D6" s="4"/>
      <c r="E6" s="4">
        <f>C6*1.176</f>
        <v>2641.2959999999998</v>
      </c>
      <c r="F6" s="4"/>
      <c r="G6" s="8">
        <f>E6-C6</f>
        <v>395.29599999999982</v>
      </c>
      <c r="H6" s="8"/>
      <c r="I6" s="11">
        <f t="shared" si="0"/>
        <v>0.14965986394557818</v>
      </c>
      <c r="L6">
        <v>4</v>
      </c>
      <c r="M6" t="s">
        <v>10</v>
      </c>
      <c r="O6">
        <v>85</v>
      </c>
    </row>
    <row r="7" spans="2:15" x14ac:dyDescent="0.25">
      <c r="B7" s="2" t="s">
        <v>17</v>
      </c>
      <c r="C7" s="4">
        <v>2246</v>
      </c>
      <c r="D7" s="4"/>
      <c r="E7" s="4">
        <f t="shared" ref="E7:E12" si="1">C7*1.176</f>
        <v>2641.2959999999998</v>
      </c>
      <c r="F7" s="4"/>
      <c r="G7" s="8">
        <f>E7-C7</f>
        <v>395.29599999999982</v>
      </c>
      <c r="H7" s="8"/>
      <c r="I7" s="11">
        <f t="shared" si="0"/>
        <v>0.14965986394557818</v>
      </c>
      <c r="L7">
        <v>85</v>
      </c>
      <c r="M7" t="s">
        <v>11</v>
      </c>
      <c r="O7">
        <f>O5*O6</f>
        <v>5100</v>
      </c>
    </row>
    <row r="8" spans="2:15" x14ac:dyDescent="0.25">
      <c r="B8" s="2" t="s">
        <v>12</v>
      </c>
      <c r="C8" s="4">
        <v>2250</v>
      </c>
      <c r="D8" s="4"/>
      <c r="E8" s="4">
        <v>4000</v>
      </c>
      <c r="F8" s="4"/>
      <c r="G8" s="8">
        <f t="shared" ref="G8:G12" si="2">E8-C8</f>
        <v>1750</v>
      </c>
      <c r="H8" s="8"/>
      <c r="I8" s="11">
        <f>G8/E8</f>
        <v>0.4375</v>
      </c>
      <c r="L8">
        <f>L5*L6*L7</f>
        <v>1020</v>
      </c>
      <c r="M8" t="s">
        <v>3</v>
      </c>
    </row>
    <row r="9" spans="2:15" x14ac:dyDescent="0.25">
      <c r="B9" s="2" t="s">
        <v>0</v>
      </c>
      <c r="C9" s="4">
        <v>125</v>
      </c>
      <c r="D9" s="4"/>
      <c r="E9" s="4">
        <v>125</v>
      </c>
      <c r="F9" s="4"/>
      <c r="G9" s="8">
        <f t="shared" si="2"/>
        <v>0</v>
      </c>
      <c r="H9" s="8"/>
      <c r="I9" s="11">
        <f>G9/E9</f>
        <v>0</v>
      </c>
    </row>
    <row r="10" spans="2:15" x14ac:dyDescent="0.25">
      <c r="B10" s="2" t="s">
        <v>1</v>
      </c>
      <c r="C10" s="4">
        <v>500</v>
      </c>
      <c r="D10" s="4"/>
      <c r="E10" s="4">
        <f t="shared" si="1"/>
        <v>588</v>
      </c>
      <c r="F10" s="4"/>
      <c r="G10" s="8">
        <f t="shared" si="2"/>
        <v>88</v>
      </c>
      <c r="H10" s="8"/>
      <c r="I10" s="11">
        <f>G10/E10</f>
        <v>0.14965986394557823</v>
      </c>
    </row>
    <row r="11" spans="2:15" x14ac:dyDescent="0.25">
      <c r="B11" s="2" t="s">
        <v>2</v>
      </c>
      <c r="C11" s="4">
        <v>1050</v>
      </c>
      <c r="D11" s="4"/>
      <c r="E11" s="4">
        <f t="shared" si="1"/>
        <v>1234.8</v>
      </c>
      <c r="F11" s="4"/>
      <c r="G11" s="8">
        <f t="shared" si="2"/>
        <v>184.79999999999995</v>
      </c>
      <c r="H11" s="8"/>
      <c r="I11" s="11">
        <f>G11/E11</f>
        <v>0.1496598639455782</v>
      </c>
    </row>
    <row r="12" spans="2:15" x14ac:dyDescent="0.25">
      <c r="B12" s="2" t="s">
        <v>8</v>
      </c>
      <c r="C12" s="4">
        <v>0</v>
      </c>
      <c r="D12" s="4"/>
      <c r="E12" s="4">
        <f t="shared" si="1"/>
        <v>0</v>
      </c>
      <c r="F12" s="4"/>
      <c r="G12" s="8">
        <f t="shared" si="2"/>
        <v>0</v>
      </c>
      <c r="H12" s="8"/>
      <c r="I12" s="11"/>
    </row>
    <row r="13" spans="2:15" x14ac:dyDescent="0.25">
      <c r="B13" s="2"/>
      <c r="C13" s="4"/>
      <c r="D13" s="4"/>
      <c r="E13" s="4"/>
      <c r="F13" s="4"/>
      <c r="G13" s="8"/>
      <c r="H13" s="8"/>
      <c r="I13" s="11"/>
    </row>
    <row r="14" spans="2:15" ht="15.75" thickBot="1" x14ac:dyDescent="0.3">
      <c r="B14" s="3"/>
      <c r="C14" s="4"/>
      <c r="D14" s="4"/>
      <c r="E14" s="6"/>
      <c r="F14" s="6"/>
      <c r="G14" s="8"/>
      <c r="H14" s="8"/>
      <c r="I14" s="11"/>
    </row>
    <row r="15" spans="2:15" ht="15.75" thickTop="1" x14ac:dyDescent="0.25">
      <c r="B15" s="3" t="s">
        <v>3</v>
      </c>
      <c r="C15" s="7">
        <f>SUM(C5:C14)</f>
        <v>8837</v>
      </c>
      <c r="D15" s="4"/>
      <c r="E15" s="7">
        <f>SUM(E5:E14)</f>
        <v>11724.311999999998</v>
      </c>
      <c r="F15" s="6"/>
      <c r="G15" s="7">
        <f>SUM(G5:G14)</f>
        <v>2887.3119999999999</v>
      </c>
      <c r="H15" s="6"/>
      <c r="I15" s="11">
        <f>G15/E15</f>
        <v>0.24626707307004456</v>
      </c>
    </row>
    <row r="20" spans="2:9" x14ac:dyDescent="0.25">
      <c r="B20" s="1"/>
      <c r="C20" s="9" t="s">
        <v>4</v>
      </c>
      <c r="D20" s="9"/>
      <c r="E20" s="10" t="s">
        <v>5</v>
      </c>
      <c r="F20" s="10"/>
      <c r="G20" s="9" t="s">
        <v>6</v>
      </c>
      <c r="H20" s="9"/>
      <c r="I20" s="9" t="s">
        <v>7</v>
      </c>
    </row>
    <row r="21" spans="2:9" x14ac:dyDescent="0.25">
      <c r="B21" s="1"/>
      <c r="C21" s="9"/>
      <c r="D21" s="9"/>
      <c r="E21" s="10"/>
      <c r="F21" s="10"/>
      <c r="G21" s="9"/>
      <c r="H21" s="9"/>
      <c r="I21" s="9"/>
    </row>
    <row r="22" spans="2:9" x14ac:dyDescent="0.25">
      <c r="B22" s="2" t="s">
        <v>14</v>
      </c>
      <c r="C22" s="4">
        <v>750</v>
      </c>
      <c r="D22" s="4"/>
      <c r="E22" s="4">
        <f>C22*1.176</f>
        <v>882</v>
      </c>
      <c r="F22" s="4"/>
      <c r="G22" s="8">
        <f>E22-C22</f>
        <v>132</v>
      </c>
      <c r="H22" s="8"/>
      <c r="I22" s="11">
        <f t="shared" ref="I22:I25" si="3">G22/E22</f>
        <v>0.14965986394557823</v>
      </c>
    </row>
    <row r="23" spans="2:9" x14ac:dyDescent="0.25">
      <c r="B23" s="2" t="s">
        <v>13</v>
      </c>
      <c r="C23" s="4">
        <v>420</v>
      </c>
      <c r="D23" s="4"/>
      <c r="E23" s="4">
        <f>C23*1.176</f>
        <v>493.91999999999996</v>
      </c>
      <c r="F23" s="4"/>
      <c r="G23" s="8">
        <f>E23-C23</f>
        <v>73.919999999999959</v>
      </c>
      <c r="H23" s="8"/>
      <c r="I23" s="11">
        <f t="shared" si="3"/>
        <v>0.14965986394557815</v>
      </c>
    </row>
    <row r="24" spans="2:9" x14ac:dyDescent="0.25">
      <c r="B24" s="2" t="s">
        <v>16</v>
      </c>
      <c r="C24" s="4">
        <v>3746</v>
      </c>
      <c r="D24" s="4"/>
      <c r="E24" s="4">
        <f>C24*1.176</f>
        <v>4405.2959999999994</v>
      </c>
      <c r="F24" s="4"/>
      <c r="G24" s="8">
        <f>E24-C24</f>
        <v>659.29599999999937</v>
      </c>
      <c r="H24" s="8"/>
      <c r="I24" s="11">
        <f t="shared" si="3"/>
        <v>0.14965986394557812</v>
      </c>
    </row>
    <row r="25" spans="2:9" x14ac:dyDescent="0.25">
      <c r="B25" s="2" t="s">
        <v>16</v>
      </c>
      <c r="C25" s="4">
        <v>3746</v>
      </c>
      <c r="D25" s="4"/>
      <c r="E25" s="4">
        <f t="shared" ref="E25" si="4">C25*1.176</f>
        <v>4405.2959999999994</v>
      </c>
      <c r="F25" s="4"/>
      <c r="G25" s="8">
        <f>E25-C25</f>
        <v>659.29599999999937</v>
      </c>
      <c r="H25" s="8"/>
      <c r="I25" s="11">
        <f t="shared" si="3"/>
        <v>0.14965986394557812</v>
      </c>
    </row>
    <row r="26" spans="2:9" x14ac:dyDescent="0.25">
      <c r="B26" s="2" t="s">
        <v>15</v>
      </c>
      <c r="C26" s="4">
        <v>2700</v>
      </c>
      <c r="D26" s="4"/>
      <c r="E26" s="4">
        <v>5200</v>
      </c>
      <c r="F26" s="4"/>
      <c r="G26" s="8">
        <f t="shared" ref="G26:G30" si="5">E26-C26</f>
        <v>2500</v>
      </c>
      <c r="H26" s="8"/>
      <c r="I26" s="11">
        <f>G26/E26</f>
        <v>0.48076923076923078</v>
      </c>
    </row>
    <row r="27" spans="2:9" x14ac:dyDescent="0.25">
      <c r="B27" s="2" t="s">
        <v>0</v>
      </c>
      <c r="C27" s="4">
        <v>125</v>
      </c>
      <c r="D27" s="4"/>
      <c r="E27" s="4">
        <v>125</v>
      </c>
      <c r="F27" s="4"/>
      <c r="G27" s="8">
        <f t="shared" si="5"/>
        <v>0</v>
      </c>
      <c r="H27" s="8"/>
      <c r="I27" s="11">
        <f>G27/E27</f>
        <v>0</v>
      </c>
    </row>
    <row r="28" spans="2:9" x14ac:dyDescent="0.25">
      <c r="B28" s="2" t="s">
        <v>1</v>
      </c>
      <c r="C28" s="4">
        <v>500</v>
      </c>
      <c r="D28" s="4"/>
      <c r="E28" s="4">
        <f t="shared" ref="E28:E30" si="6">C28*1.176</f>
        <v>588</v>
      </c>
      <c r="F28" s="4"/>
      <c r="G28" s="8">
        <f t="shared" si="5"/>
        <v>88</v>
      </c>
      <c r="H28" s="8"/>
      <c r="I28" s="11">
        <f>G28/E28</f>
        <v>0.14965986394557823</v>
      </c>
    </row>
    <row r="29" spans="2:9" x14ac:dyDescent="0.25">
      <c r="B29" s="2" t="s">
        <v>2</v>
      </c>
      <c r="C29" s="4">
        <v>1050</v>
      </c>
      <c r="D29" s="4"/>
      <c r="E29" s="4">
        <f t="shared" si="6"/>
        <v>1234.8</v>
      </c>
      <c r="F29" s="4"/>
      <c r="G29" s="8">
        <f t="shared" si="5"/>
        <v>184.79999999999995</v>
      </c>
      <c r="H29" s="8"/>
      <c r="I29" s="11">
        <f>G29/E29</f>
        <v>0.1496598639455782</v>
      </c>
    </row>
    <row r="30" spans="2:9" x14ac:dyDescent="0.25">
      <c r="B30" s="2" t="s">
        <v>8</v>
      </c>
      <c r="C30" s="4">
        <v>0</v>
      </c>
      <c r="D30" s="4"/>
      <c r="E30" s="4">
        <f t="shared" si="6"/>
        <v>0</v>
      </c>
      <c r="F30" s="4"/>
      <c r="G30" s="8">
        <f t="shared" si="5"/>
        <v>0</v>
      </c>
      <c r="H30" s="8"/>
      <c r="I30" s="11"/>
    </row>
    <row r="31" spans="2:9" x14ac:dyDescent="0.25">
      <c r="B31" s="2"/>
      <c r="C31" s="4"/>
      <c r="D31" s="4"/>
      <c r="E31" s="4"/>
      <c r="F31" s="4"/>
      <c r="G31" s="8"/>
      <c r="H31" s="8"/>
      <c r="I31" s="11"/>
    </row>
    <row r="32" spans="2:9" ht="15.75" thickBot="1" x14ac:dyDescent="0.3">
      <c r="B32" s="3"/>
      <c r="C32" s="4"/>
      <c r="D32" s="4"/>
      <c r="E32" s="6"/>
      <c r="F32" s="6"/>
      <c r="G32" s="8"/>
      <c r="H32" s="8"/>
      <c r="I32" s="11"/>
    </row>
    <row r="33" spans="2:9" ht="15.75" thickTop="1" x14ac:dyDescent="0.25">
      <c r="B33" s="3" t="s">
        <v>3</v>
      </c>
      <c r="C33" s="7">
        <f>SUM(C22:C32)</f>
        <v>13037</v>
      </c>
      <c r="D33" s="4"/>
      <c r="E33" s="7">
        <f>SUM(E22:E32)</f>
        <v>17334.311999999998</v>
      </c>
      <c r="F33" s="6"/>
      <c r="G33" s="7">
        <f>SUM(G22:G32)</f>
        <v>4297.311999999999</v>
      </c>
      <c r="H33" s="6"/>
      <c r="I33" s="11">
        <f>G33/E33</f>
        <v>0.24790784889530079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6"/>
  <sheetViews>
    <sheetView workbookViewId="0">
      <selection activeCell="C6" sqref="C6"/>
    </sheetView>
  </sheetViews>
  <sheetFormatPr defaultRowHeight="15" x14ac:dyDescent="0.25"/>
  <cols>
    <col min="3" max="3" width="74" customWidth="1"/>
  </cols>
  <sheetData>
    <row r="4" spans="3:3" x14ac:dyDescent="0.25">
      <c r="C4" t="s">
        <v>18</v>
      </c>
    </row>
    <row r="6" spans="3:3" x14ac:dyDescent="0.25">
      <c r="C6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2016-11-14T20:39:51Z</dcterms:modified>
</cp:coreProperties>
</file>