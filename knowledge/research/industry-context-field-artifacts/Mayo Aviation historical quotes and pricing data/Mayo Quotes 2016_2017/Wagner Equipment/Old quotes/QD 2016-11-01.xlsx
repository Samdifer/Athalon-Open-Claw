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Wagner Equipment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7" i="1" l="1"/>
  <c r="E6" i="1"/>
  <c r="C17" i="1"/>
  <c r="O6" i="1"/>
  <c r="O7" i="1" s="1"/>
  <c r="L7" i="1"/>
  <c r="E8" i="1"/>
  <c r="E9" i="1"/>
  <c r="E12" i="1"/>
  <c r="E13" i="1"/>
  <c r="E17" i="1" l="1"/>
  <c r="E19" i="1" s="1"/>
  <c r="G19" i="1" s="1"/>
  <c r="I19" i="1" s="1"/>
  <c r="G14" i="1"/>
  <c r="G5" i="1" l="1"/>
  <c r="I5" i="1" s="1"/>
  <c r="G6" i="1"/>
  <c r="G7" i="1"/>
  <c r="G8" i="1"/>
  <c r="I8" i="1" s="1"/>
  <c r="G9" i="1"/>
  <c r="G10" i="1"/>
  <c r="G11" i="1"/>
  <c r="I11" i="1" s="1"/>
  <c r="G12" i="1"/>
  <c r="I12" i="1" s="1"/>
  <c r="G13" i="1"/>
  <c r="I13" i="1" s="1"/>
  <c r="G4" i="1"/>
  <c r="I4" i="1" s="1"/>
  <c r="I10" i="1" l="1"/>
  <c r="G17" i="1"/>
  <c r="I17" i="1" s="1"/>
</calcChain>
</file>

<file path=xl/comments1.xml><?xml version="1.0" encoding="utf-8"?>
<comments xmlns="http://schemas.openxmlformats.org/spreadsheetml/2006/main">
  <authors>
    <author>Nathanael Earp</author>
  </authors>
  <commentList>
    <comment ref="E6" authorId="0" shapeId="0">
      <text>
        <r>
          <rPr>
            <b/>
            <sz val="9"/>
            <color indexed="81"/>
            <rFont val="Tahoma"/>
            <charset val="1"/>
          </rPr>
          <t>Nathanael Earp:</t>
        </r>
        <r>
          <rPr>
            <sz val="9"/>
            <color indexed="81"/>
            <rFont val="Tahoma"/>
            <charset val="1"/>
          </rPr>
          <t xml:space="preserve">
$7650.00 if required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Nathanael Earp:</t>
        </r>
        <r>
          <rPr>
            <sz val="9"/>
            <color indexed="81"/>
            <rFont val="Tahoma"/>
            <charset val="1"/>
          </rPr>
          <t xml:space="preserve">
$6,599.00 If Required</t>
        </r>
      </text>
    </comment>
  </commentList>
</comments>
</file>

<file path=xl/sharedStrings.xml><?xml version="1.0" encoding="utf-8"?>
<sst xmlns="http://schemas.openxmlformats.org/spreadsheetml/2006/main" count="18" uniqueCount="18">
  <si>
    <t>Supplemental Type Certificate(s)</t>
  </si>
  <si>
    <t>Upgrade RTU 42XX</t>
  </si>
  <si>
    <t>Upgrade GPS-4000S GPS (1)</t>
  </si>
  <si>
    <t>Sensor Systems GPS Antenna</t>
  </si>
  <si>
    <t>New IOC-3100 Concentrator (2)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</si>
  <si>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</si>
  <si>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</si>
  <si>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</si>
  <si>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</si>
  <si>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</si>
  <si>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</si>
  <si>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</si>
  <si>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</si>
  <si>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</si>
  <si>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Drawings</t>
  </si>
  <si>
    <t>Hours</t>
  </si>
  <si>
    <t>Installation 60 Hrs</t>
  </si>
  <si>
    <t>New TDR-94 Transponders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</si>
</sst>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indent="1"/>
    </xf>
    <xf numFmtId="44" fontId="3" fillId="0" borderId="0" xfId="0" applyNumberFormat="1" applyFont="1" applyAlignment="1">
      <alignment horizontal="right" indent="1"/>
    </xf>
    <xf numFmtId="0" fontId="0" fillId="0" borderId="0" xfId="0" applyFont="1"/>
    <xf numFmtId="0" fontId="0" fillId="0" borderId="0" xfId="0" applyFont="1" applyAlignment="1">
      <alignment horizontal="left"/>
    </xf>
    <xf numFmtId="44" fontId="0" fillId="0" borderId="0" xfId="0" applyNumberFormat="1" applyFont="1" applyAlignment="1">
      <alignment horizontal="left" indent="1"/>
    </xf>
    <xf numFmtId="2" fontId="0" fillId="0" borderId="0" xfId="0" applyNumberFormat="1" applyFont="1" applyAlignment="1">
      <alignment horizontal="left" indent="1"/>
    </xf>
    <xf numFmtId="0" fontId="0" fillId="0" borderId="0" xfId="0" applyFont="1" applyAlignment="1">
      <alignment horizontal="right"/>
    </xf>
    <xf numFmtId="44" fontId="0" fillId="0" borderId="0" xfId="0" applyNumberFormat="1" applyFont="1" applyBorder="1" applyAlignment="1">
      <alignment horizontal="left" indent="1"/>
    </xf>
    <xf numFmtId="44" fontId="0" fillId="0" borderId="1" xfId="0" applyNumberFormat="1" applyFont="1" applyBorder="1" applyAlignment="1">
      <alignment horizontal="left" indent="1"/>
    </xf>
    <xf numFmtId="0" fontId="0" fillId="0" borderId="0" xfId="0" applyFont="1" applyAlignment="1">
      <alignment horizontal="left" indent="1"/>
    </xf>
    <xf numFmtId="4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P24"/>
  <sheetViews>
    <sheetView tabSelected="1" workbookViewId="0">
      <selection activeCell="L19" sqref="L19"/>
    </sheetView>
  </sheetViews>
  <sheetFormatPr defaultRowHeight="15" x14ac:dyDescent="0.25"/>
  <cols>
    <col min="1" max="1" width="9.140625" style="4"/>
    <col min="2" max="2" width="31.42578125" style="4" customWidth="1"/>
    <col min="3" max="3" width="22.42578125" style="11" customWidth="1"/>
    <col min="4" max="4" width="2.140625" style="11" customWidth="1"/>
    <col min="5" max="5" width="20.5703125" style="11" customWidth="1"/>
    <col min="6" max="6" width="1.7109375" style="11" customWidth="1"/>
    <col min="7" max="7" width="18.85546875" style="11" customWidth="1"/>
    <col min="8" max="8" width="2" style="11" customWidth="1"/>
    <col min="9" max="9" width="11.85546875" style="11" bestFit="1" customWidth="1"/>
    <col min="10" max="10" width="9.140625" style="4"/>
    <col min="11" max="11" width="10.5703125" style="4" bestFit="1" customWidth="1"/>
    <col min="12" max="16384" width="9.140625" style="4"/>
  </cols>
  <sheetData>
    <row r="3" spans="2:16" x14ac:dyDescent="0.25">
      <c r="B3" s="1"/>
      <c r="C3" s="2" t="s">
        <v>9</v>
      </c>
      <c r="D3" s="2"/>
      <c r="E3" s="3" t="s">
        <v>10</v>
      </c>
      <c r="F3" s="3"/>
      <c r="G3" s="2" t="s">
        <v>11</v>
      </c>
      <c r="H3" s="2"/>
      <c r="I3" s="2" t="s">
        <v>12</v>
      </c>
    </row>
    <row r="4" spans="2:16" x14ac:dyDescent="0.25">
      <c r="B4" s="5" t="s">
        <v>0</v>
      </c>
      <c r="C4" s="6">
        <v>15000</v>
      </c>
      <c r="D4" s="6"/>
      <c r="E4" s="6">
        <v>15000</v>
      </c>
      <c r="F4" s="6"/>
      <c r="G4" s="6">
        <f>E4-C4</f>
        <v>0</v>
      </c>
      <c r="H4" s="6"/>
      <c r="I4" s="7">
        <f>G4/E4</f>
        <v>0</v>
      </c>
      <c r="L4" s="4">
        <v>4</v>
      </c>
      <c r="M4" s="4" t="s">
        <v>14</v>
      </c>
      <c r="O4" s="4">
        <v>60</v>
      </c>
      <c r="P4" s="4" t="s">
        <v>15</v>
      </c>
    </row>
    <row r="5" spans="2:16" x14ac:dyDescent="0.25">
      <c r="B5" s="4" t="s">
        <v>17</v>
      </c>
      <c r="C5" s="6">
        <v>32280</v>
      </c>
      <c r="D5" s="6"/>
      <c r="E5" s="6">
        <f>C5*1.111</f>
        <v>35863.08</v>
      </c>
      <c r="F5" s="6"/>
      <c r="G5" s="6">
        <f t="shared" ref="G5:G14" si="0">E5-C5</f>
        <v>3583.0800000000017</v>
      </c>
      <c r="H5" s="6"/>
      <c r="I5" s="7">
        <f>G5/E5</f>
        <v>9.990999099909996E-2</v>
      </c>
      <c r="L5" s="4">
        <v>4</v>
      </c>
      <c r="O5" s="4">
        <v>45</v>
      </c>
    </row>
    <row r="6" spans="2:16" x14ac:dyDescent="0.25">
      <c r="B6" s="4" t="s">
        <v>1</v>
      </c>
      <c r="C6" s="6">
        <v>0</v>
      </c>
      <c r="D6" s="6"/>
      <c r="E6" s="6">
        <f>C6*1.176</f>
        <v>0</v>
      </c>
      <c r="F6" s="6"/>
      <c r="G6" s="6">
        <f t="shared" si="0"/>
        <v>0</v>
      </c>
      <c r="H6" s="6"/>
      <c r="I6" s="7"/>
      <c r="L6" s="4">
        <v>85</v>
      </c>
      <c r="O6" s="4">
        <f>O4*O5</f>
        <v>2700</v>
      </c>
    </row>
    <row r="7" spans="2:16" x14ac:dyDescent="0.25">
      <c r="B7" s="4" t="s">
        <v>2</v>
      </c>
      <c r="C7" s="6">
        <v>0</v>
      </c>
      <c r="D7" s="6"/>
      <c r="E7" s="6">
        <f>C7*1.111</f>
        <v>0</v>
      </c>
      <c r="F7" s="6"/>
      <c r="G7" s="6">
        <f t="shared" si="0"/>
        <v>0</v>
      </c>
      <c r="H7" s="6"/>
      <c r="I7" s="7"/>
      <c r="L7" s="4">
        <f>L4*L5*L6</f>
        <v>1360</v>
      </c>
      <c r="O7" s="4">
        <f>O6*0.05</f>
        <v>135</v>
      </c>
    </row>
    <row r="8" spans="2:16" x14ac:dyDescent="0.25">
      <c r="B8" s="4" t="s">
        <v>3</v>
      </c>
      <c r="C8" s="6">
        <v>800</v>
      </c>
      <c r="D8" s="6"/>
      <c r="E8" s="6">
        <f t="shared" ref="E8:E13" si="1">C8*1.176</f>
        <v>940.8</v>
      </c>
      <c r="F8" s="6"/>
      <c r="G8" s="6">
        <f t="shared" si="0"/>
        <v>140.79999999999995</v>
      </c>
      <c r="H8" s="6"/>
      <c r="I8" s="7">
        <f>G8/E8</f>
        <v>0.1496598639455782</v>
      </c>
    </row>
    <row r="9" spans="2:16" x14ac:dyDescent="0.25">
      <c r="B9" s="4" t="s">
        <v>4</v>
      </c>
      <c r="C9" s="6">
        <v>0</v>
      </c>
      <c r="D9" s="6"/>
      <c r="E9" s="6">
        <f t="shared" si="1"/>
        <v>0</v>
      </c>
      <c r="F9" s="6"/>
      <c r="G9" s="6">
        <f t="shared" si="0"/>
        <v>0</v>
      </c>
      <c r="H9" s="6"/>
      <c r="I9" s="7"/>
    </row>
    <row r="10" spans="2:16" x14ac:dyDescent="0.25">
      <c r="B10" s="4" t="s">
        <v>16</v>
      </c>
      <c r="C10" s="6">
        <v>2700</v>
      </c>
      <c r="D10" s="6"/>
      <c r="E10" s="6">
        <v>4800</v>
      </c>
      <c r="F10" s="6"/>
      <c r="G10" s="6">
        <f t="shared" si="0"/>
        <v>2100</v>
      </c>
      <c r="H10" s="6"/>
      <c r="I10" s="7">
        <f>G10/E10</f>
        <v>0.4375</v>
      </c>
    </row>
    <row r="11" spans="2:16" x14ac:dyDescent="0.25">
      <c r="B11" s="4" t="s">
        <v>5</v>
      </c>
      <c r="C11" s="6">
        <v>125</v>
      </c>
      <c r="D11" s="6"/>
      <c r="E11" s="6">
        <v>125</v>
      </c>
      <c r="F11" s="6"/>
      <c r="G11" s="6">
        <f t="shared" si="0"/>
        <v>0</v>
      </c>
      <c r="H11" s="6"/>
      <c r="I11" s="7">
        <f>G11/E11</f>
        <v>0</v>
      </c>
    </row>
    <row r="12" spans="2:16" x14ac:dyDescent="0.25">
      <c r="B12" s="4" t="s">
        <v>6</v>
      </c>
      <c r="C12" s="6">
        <v>600</v>
      </c>
      <c r="D12" s="6"/>
      <c r="E12" s="6">
        <f t="shared" si="1"/>
        <v>705.59999999999991</v>
      </c>
      <c r="F12" s="6"/>
      <c r="G12" s="6">
        <f t="shared" si="0"/>
        <v>105.59999999999991</v>
      </c>
      <c r="H12" s="6"/>
      <c r="I12" s="7">
        <f>G12/E12</f>
        <v>0.14965986394557812</v>
      </c>
    </row>
    <row r="13" spans="2:16" x14ac:dyDescent="0.25">
      <c r="B13" s="4" t="s">
        <v>7</v>
      </c>
      <c r="C13" s="6">
        <v>1350</v>
      </c>
      <c r="D13" s="6"/>
      <c r="E13" s="6">
        <f t="shared" si="1"/>
        <v>1587.6</v>
      </c>
      <c r="F13" s="6"/>
      <c r="G13" s="6">
        <f t="shared" si="0"/>
        <v>237.59999999999991</v>
      </c>
      <c r="H13" s="6"/>
      <c r="I13" s="7">
        <f>G13/E13</f>
        <v>0.14965986394557818</v>
      </c>
    </row>
    <row r="14" spans="2:16" x14ac:dyDescent="0.25">
      <c r="B14" s="4" t="s">
        <v>13</v>
      </c>
      <c r="C14" s="6">
        <v>0</v>
      </c>
      <c r="D14" s="6"/>
      <c r="E14" s="6">
        <v>0</v>
      </c>
      <c r="F14" s="6"/>
      <c r="G14" s="6">
        <f t="shared" si="0"/>
        <v>0</v>
      </c>
      <c r="H14" s="6"/>
      <c r="I14" s="7"/>
    </row>
    <row r="15" spans="2:16" x14ac:dyDescent="0.25">
      <c r="C15" s="6"/>
      <c r="D15" s="6"/>
      <c r="E15" s="6"/>
      <c r="F15" s="6"/>
      <c r="G15" s="6"/>
      <c r="H15" s="6"/>
      <c r="I15" s="7"/>
    </row>
    <row r="16" spans="2:16" ht="15.75" thickBot="1" x14ac:dyDescent="0.3">
      <c r="B16" s="8"/>
      <c r="C16" s="6"/>
      <c r="D16" s="6"/>
      <c r="E16" s="9"/>
      <c r="F16" s="9"/>
      <c r="G16" s="6"/>
      <c r="H16" s="6"/>
      <c r="I16" s="7"/>
    </row>
    <row r="17" spans="2:11" ht="15.75" thickTop="1" x14ac:dyDescent="0.25">
      <c r="B17" s="8" t="s">
        <v>8</v>
      </c>
      <c r="C17" s="10">
        <f>SUM(C4:C16)</f>
        <v>52855</v>
      </c>
      <c r="D17" s="6"/>
      <c r="E17" s="10">
        <f>SUM(E4:E16)</f>
        <v>59022.080000000002</v>
      </c>
      <c r="F17" s="9"/>
      <c r="G17" s="10">
        <f>SUM(G4:G16)</f>
        <v>6167.0800000000017</v>
      </c>
      <c r="H17" s="9"/>
      <c r="I17" s="7">
        <f>G17/E17</f>
        <v>0.10448767647632888</v>
      </c>
      <c r="K17" s="12"/>
    </row>
    <row r="18" spans="2:11" x14ac:dyDescent="0.25">
      <c r="E18" s="6">
        <v>-1770</v>
      </c>
      <c r="I18" s="7">
        <v>0.03</v>
      </c>
      <c r="J18" s="12"/>
    </row>
    <row r="19" spans="2:11" x14ac:dyDescent="0.25">
      <c r="E19" s="6">
        <f>E17+E18</f>
        <v>57252.08</v>
      </c>
      <c r="G19" s="6">
        <f>E19-C17</f>
        <v>4397.0800000000017</v>
      </c>
      <c r="I19" s="7">
        <f>G19/E19</f>
        <v>7.68021004651709E-2</v>
      </c>
    </row>
    <row r="20" spans="2:11" x14ac:dyDescent="0.25">
      <c r="I20" s="7"/>
    </row>
    <row r="21" spans="2:11" x14ac:dyDescent="0.25">
      <c r="I21" s="7"/>
    </row>
    <row r="22" spans="2:11" x14ac:dyDescent="0.25">
      <c r="I22" s="7"/>
    </row>
    <row r="23" spans="2:11" x14ac:dyDescent="0.25">
      <c r="I23" s="7"/>
    </row>
    <row r="24" spans="2:11" x14ac:dyDescent="0.25">
      <c r="I24" s="7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2016-11-15T16:59:19Z</dcterms:modified>
</cp:coreProperties>
</file>