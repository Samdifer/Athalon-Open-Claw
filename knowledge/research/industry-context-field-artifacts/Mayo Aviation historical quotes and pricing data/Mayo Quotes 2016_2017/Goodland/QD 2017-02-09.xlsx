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Goodland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G11" i="1" s="1"/>
  <c r="I11" i="1" s="1"/>
  <c r="L8" i="1"/>
  <c r="O7" i="1"/>
  <c r="O8" i="1" s="1"/>
  <c r="I6" i="1" l="1"/>
  <c r="I7" i="1"/>
  <c r="I8" i="1"/>
  <c r="I9" i="1"/>
  <c r="G6" i="1" l="1"/>
  <c r="G7" i="1"/>
  <c r="G8" i="1"/>
  <c r="E6" i="1"/>
  <c r="E7" i="1"/>
  <c r="E8" i="1"/>
  <c r="E10" i="1"/>
  <c r="E9" i="1"/>
  <c r="E5" i="1"/>
  <c r="G5" i="1" l="1"/>
  <c r="I5" i="1" s="1"/>
  <c r="G9" i="1" l="1"/>
  <c r="F6" i="2" l="1"/>
  <c r="D10" i="2" l="1"/>
  <c r="C19" i="1" l="1"/>
  <c r="E14" i="1" l="1"/>
  <c r="G10" i="1" l="1"/>
  <c r="I10" i="1" s="1"/>
  <c r="E15" i="1"/>
  <c r="E19" i="1" l="1"/>
  <c r="E21" i="1" s="1"/>
  <c r="G21" i="1" s="1"/>
  <c r="I21" i="1" s="1"/>
  <c r="G16" i="1"/>
  <c r="G12" i="1" l="1"/>
  <c r="I12" i="1" s="1"/>
  <c r="G13" i="1"/>
  <c r="I13" i="1" s="1"/>
  <c r="G14" i="1"/>
  <c r="I14" i="1" s="1"/>
  <c r="G15" i="1"/>
  <c r="I15" i="1" l="1"/>
  <c r="G19" i="1"/>
  <c r="I19" i="1" s="1"/>
</calcChain>
</file>

<file path=xl/sharedStrings.xml><?xml version="1.0" encoding="utf-8"?>
<sst xmlns="http://schemas.openxmlformats.org/spreadsheetml/2006/main" count="25" uniqueCount="25">
  <si>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</si>
  <si>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</si>
  <si>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</si>
  <si>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</si>
  <si>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</si>
  <si>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</si>
  <si>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</si>
  <si>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</si>
  <si>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</si>
  <si>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</si>
  <si>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</si>
  <si>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GTX 345R Transponder</t>
  </si>
  <si>
    <t>GTX 335R Transponder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</si>
  <si>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</si>
  <si>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</si>
  <si>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</si>
  <si>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</si>
  <si>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</si>
  <si>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</si>
  <si>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</si>
  <si>
    <t>Garmin GTN-625</t>
  </si>
  <si>
    <t>SD Datacard (NavData, Terrain, Obstacle, FliteCharts, SafeTaxi)</t>
  </si>
  <si>
    <t>GA 35 GPS/WAAS antenna</t>
  </si>
  <si>
    <t>GAD 42 Adapter</t>
  </si>
  <si>
    <t>Installation 180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</si>
</sst>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1"/>
  <sheetViews>
    <sheetView tabSelected="1" workbookViewId="0">
      <selection activeCell="M15" sqref="M15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9.7109375" customWidth="1"/>
  </cols>
  <sheetData>
    <row r="3" spans="2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6" x14ac:dyDescent="0.25">
      <c r="B4" s="1"/>
      <c r="C4" s="9"/>
      <c r="D4" s="9"/>
      <c r="E4" s="10"/>
      <c r="F4" s="10"/>
      <c r="G4" s="9"/>
      <c r="H4" s="9"/>
      <c r="I4" s="9"/>
    </row>
    <row r="5" spans="2:16" x14ac:dyDescent="0.25">
      <c r="B5" s="14" t="s">
        <v>20</v>
      </c>
      <c r="C5" s="4">
        <v>6445</v>
      </c>
      <c r="D5" s="4"/>
      <c r="E5" s="4">
        <f>C5*1.25</f>
        <v>8056.25</v>
      </c>
      <c r="F5" s="4"/>
      <c r="G5" s="8">
        <f>E5-C5</f>
        <v>1611.25</v>
      </c>
      <c r="H5" s="8"/>
      <c r="I5" s="11">
        <f t="shared" ref="I5:I11" si="0">G5/E5</f>
        <v>0.2</v>
      </c>
      <c r="L5">
        <v>6</v>
      </c>
      <c r="M5" t="s">
        <v>9</v>
      </c>
      <c r="O5">
        <v>180</v>
      </c>
      <c r="P5" t="s">
        <v>16</v>
      </c>
    </row>
    <row r="6" spans="2:16" x14ac:dyDescent="0.25">
      <c r="B6" s="14" t="s">
        <v>21</v>
      </c>
      <c r="C6" s="4">
        <v>420</v>
      </c>
      <c r="D6" s="4"/>
      <c r="E6" s="4">
        <f t="shared" ref="E6:E8" si="1">C6*1.25</f>
        <v>525</v>
      </c>
      <c r="F6" s="4"/>
      <c r="G6" s="8">
        <f t="shared" ref="G6:G8" si="2">E6-C6</f>
        <v>105</v>
      </c>
      <c r="H6" s="8"/>
      <c r="I6" s="11">
        <f t="shared" si="0"/>
        <v>0.2</v>
      </c>
      <c r="L6">
        <v>4</v>
      </c>
      <c r="O6">
        <v>85</v>
      </c>
    </row>
    <row r="7" spans="2:16" x14ac:dyDescent="0.25">
      <c r="B7" s="14" t="s">
        <v>22</v>
      </c>
      <c r="C7" s="4">
        <v>265</v>
      </c>
      <c r="D7" s="4"/>
      <c r="E7" s="4">
        <f t="shared" si="1"/>
        <v>331.25</v>
      </c>
      <c r="F7" s="4"/>
      <c r="G7" s="8">
        <f t="shared" si="2"/>
        <v>66.25</v>
      </c>
      <c r="H7" s="8"/>
      <c r="I7" s="11">
        <f t="shared" si="0"/>
        <v>0.2</v>
      </c>
      <c r="L7">
        <v>85</v>
      </c>
      <c r="O7">
        <f>O5*O6</f>
        <v>15300</v>
      </c>
    </row>
    <row r="8" spans="2:16" x14ac:dyDescent="0.25">
      <c r="B8" s="2" t="s">
        <v>10</v>
      </c>
      <c r="C8" s="4">
        <v>420</v>
      </c>
      <c r="D8" s="4"/>
      <c r="E8" s="4">
        <f t="shared" si="1"/>
        <v>525</v>
      </c>
      <c r="F8" s="4"/>
      <c r="G8" s="8">
        <f t="shared" si="2"/>
        <v>105</v>
      </c>
      <c r="H8" s="8"/>
      <c r="I8" s="11">
        <f t="shared" si="0"/>
        <v>0.2</v>
      </c>
      <c r="K8" s="13"/>
      <c r="L8">
        <f>L5*L6*L7</f>
        <v>2040</v>
      </c>
      <c r="O8">
        <f>O7*0.05</f>
        <v>765</v>
      </c>
    </row>
    <row r="9" spans="2:16" x14ac:dyDescent="0.25">
      <c r="B9" s="2" t="s">
        <v>11</v>
      </c>
      <c r="C9" s="4">
        <v>3746</v>
      </c>
      <c r="D9" s="4"/>
      <c r="E9" s="4">
        <f>C9*1.25</f>
        <v>4682.5</v>
      </c>
      <c r="F9" s="4"/>
      <c r="G9" s="8">
        <f>E9-C9</f>
        <v>936.5</v>
      </c>
      <c r="H9" s="8"/>
      <c r="I9" s="11">
        <f t="shared" si="0"/>
        <v>0.2</v>
      </c>
    </row>
    <row r="10" spans="2:16" x14ac:dyDescent="0.25">
      <c r="B10" s="2" t="s">
        <v>12</v>
      </c>
      <c r="C10" s="4">
        <v>2246</v>
      </c>
      <c r="D10" s="4"/>
      <c r="E10" s="4">
        <f>C10*1.25</f>
        <v>2807.5</v>
      </c>
      <c r="F10" s="4"/>
      <c r="G10" s="8">
        <f>E10-C10</f>
        <v>561.5</v>
      </c>
      <c r="H10" s="8"/>
      <c r="I10" s="11">
        <f t="shared" si="0"/>
        <v>0.2</v>
      </c>
    </row>
    <row r="11" spans="2:16" x14ac:dyDescent="0.25">
      <c r="B11" s="2" t="s">
        <v>23</v>
      </c>
      <c r="C11" s="4">
        <v>2621</v>
      </c>
      <c r="D11" s="4"/>
      <c r="E11" s="4">
        <f>C11*1.25</f>
        <v>3276.25</v>
      </c>
      <c r="F11" s="4"/>
      <c r="G11" s="8">
        <f>E11-C11</f>
        <v>655.25</v>
      </c>
      <c r="H11" s="8"/>
      <c r="I11" s="11">
        <f t="shared" si="0"/>
        <v>0.2</v>
      </c>
    </row>
    <row r="12" spans="2:16" x14ac:dyDescent="0.25">
      <c r="B12" s="2" t="s">
        <v>24</v>
      </c>
      <c r="C12" s="4">
        <v>8100</v>
      </c>
      <c r="D12" s="4"/>
      <c r="E12" s="4">
        <v>15300</v>
      </c>
      <c r="F12" s="4"/>
      <c r="G12" s="8">
        <f t="shared" ref="G12:G16" si="3">E12-C12</f>
        <v>7200</v>
      </c>
      <c r="H12" s="8"/>
      <c r="I12" s="11">
        <f>G12/E12</f>
        <v>0.47058823529411764</v>
      </c>
    </row>
    <row r="13" spans="2:16" x14ac:dyDescent="0.25">
      <c r="B13" s="2" t="s">
        <v>0</v>
      </c>
      <c r="C13" s="4">
        <v>250</v>
      </c>
      <c r="D13" s="4"/>
      <c r="E13" s="4">
        <v>250</v>
      </c>
      <c r="F13" s="4"/>
      <c r="G13" s="8">
        <f t="shared" si="3"/>
        <v>0</v>
      </c>
      <c r="H13" s="8"/>
      <c r="I13" s="11">
        <f>G13/E13</f>
        <v>0</v>
      </c>
    </row>
    <row r="14" spans="2:16" x14ac:dyDescent="0.25">
      <c r="B14" s="2" t="s">
        <v>1</v>
      </c>
      <c r="C14" s="4">
        <v>750</v>
      </c>
      <c r="D14" s="4"/>
      <c r="E14" s="4">
        <f t="shared" ref="E14:E15" si="4">C14*1.176</f>
        <v>882</v>
      </c>
      <c r="F14" s="4"/>
      <c r="G14" s="8">
        <f t="shared" si="3"/>
        <v>132</v>
      </c>
      <c r="H14" s="8"/>
      <c r="I14" s="11">
        <f>G14/E14</f>
        <v>0.14965986394557823</v>
      </c>
    </row>
    <row r="15" spans="2:16" x14ac:dyDescent="0.25">
      <c r="B15" s="2" t="s">
        <v>2</v>
      </c>
      <c r="C15" s="4">
        <v>2000</v>
      </c>
      <c r="D15" s="4"/>
      <c r="E15" s="4">
        <f t="shared" si="4"/>
        <v>2352</v>
      </c>
      <c r="F15" s="4"/>
      <c r="G15" s="8">
        <f t="shared" si="3"/>
        <v>352</v>
      </c>
      <c r="H15" s="8"/>
      <c r="I15" s="11">
        <f>G15/E15</f>
        <v>0.14965986394557823</v>
      </c>
    </row>
    <row r="16" spans="2:16" x14ac:dyDescent="0.25">
      <c r="B16" s="2" t="s">
        <v>8</v>
      </c>
      <c r="C16" s="4">
        <v>0</v>
      </c>
      <c r="D16" s="4"/>
      <c r="E16" s="4"/>
      <c r="F16" s="4"/>
      <c r="G16" s="8">
        <f t="shared" si="3"/>
        <v>0</v>
      </c>
      <c r="H16" s="8"/>
      <c r="I16" s="11"/>
    </row>
    <row r="17" spans="2:9" x14ac:dyDescent="0.25">
      <c r="B17" s="2"/>
      <c r="C17" s="4"/>
      <c r="D17" s="4"/>
      <c r="E17" s="4"/>
      <c r="F17" s="4"/>
      <c r="G17" s="8"/>
      <c r="H17" s="8"/>
      <c r="I17" s="11"/>
    </row>
    <row r="18" spans="2:9" ht="15.75" thickBot="1" x14ac:dyDescent="0.3">
      <c r="B18" s="3"/>
      <c r="C18" s="4"/>
      <c r="D18" s="4"/>
      <c r="E18" s="6"/>
      <c r="F18" s="6"/>
      <c r="G18" s="8"/>
      <c r="H18" s="8"/>
      <c r="I18" s="11"/>
    </row>
    <row r="19" spans="2:9" ht="15.75" thickTop="1" x14ac:dyDescent="0.25">
      <c r="B19" s="3" t="s">
        <v>3</v>
      </c>
      <c r="C19" s="7">
        <f>SUM(C5:C18)</f>
        <v>27263</v>
      </c>
      <c r="D19" s="4"/>
      <c r="E19" s="7">
        <f>SUM(E5:E18)</f>
        <v>38987.75</v>
      </c>
      <c r="F19" s="6"/>
      <c r="G19" s="7">
        <f>SUM(G5:G18)</f>
        <v>11724.75</v>
      </c>
      <c r="H19" s="6"/>
      <c r="I19" s="11">
        <f>G19/E19</f>
        <v>0.30072907515822278</v>
      </c>
    </row>
    <row r="20" spans="2:9" x14ac:dyDescent="0.25">
      <c r="B20" s="3"/>
      <c r="C20" s="6"/>
      <c r="D20" s="4"/>
      <c r="E20" s="6">
        <v>-2500</v>
      </c>
      <c r="F20" s="6"/>
      <c r="G20" s="6"/>
      <c r="H20" s="6"/>
      <c r="I20" s="11"/>
    </row>
    <row r="21" spans="2:9" x14ac:dyDescent="0.25">
      <c r="B21" s="3"/>
      <c r="C21" s="6"/>
      <c r="D21" s="4"/>
      <c r="E21" s="6">
        <f>E19+E20</f>
        <v>36487.75</v>
      </c>
      <c r="F21" s="6"/>
      <c r="G21" s="6">
        <f>E21-C19</f>
        <v>9224.75</v>
      </c>
      <c r="H21" s="6"/>
      <c r="I21" s="11">
        <f t="shared" ref="I21" si="5">G21/E21</f>
        <v>0.2528177264972491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13</v>
      </c>
    </row>
    <row r="6" spans="3:7" x14ac:dyDescent="0.25">
      <c r="C6" t="s">
        <v>19</v>
      </c>
      <c r="D6" s="13">
        <v>2850</v>
      </c>
      <c r="F6" s="13">
        <f>D6*0.4</f>
        <v>1140</v>
      </c>
    </row>
    <row r="7" spans="3:7" x14ac:dyDescent="0.25">
      <c r="C7" t="s">
        <v>14</v>
      </c>
      <c r="D7" s="13">
        <v>-720</v>
      </c>
    </row>
    <row r="8" spans="3:7" x14ac:dyDescent="0.25">
      <c r="C8" t="s">
        <v>15</v>
      </c>
      <c r="D8" s="13">
        <v>-712</v>
      </c>
    </row>
    <row r="9" spans="3:7" x14ac:dyDescent="0.25">
      <c r="C9" t="s">
        <v>18</v>
      </c>
      <c r="D9" s="13">
        <v>-500</v>
      </c>
    </row>
    <row r="10" spans="3:7" x14ac:dyDescent="0.25">
      <c r="C10" t="s">
        <v>17</v>
      </c>
      <c r="D10" s="13">
        <f>SUM(D6:D9)</f>
        <v>918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2017-02-27T16:44:42Z</dcterms:modified>
</cp:coreProperties>
</file>