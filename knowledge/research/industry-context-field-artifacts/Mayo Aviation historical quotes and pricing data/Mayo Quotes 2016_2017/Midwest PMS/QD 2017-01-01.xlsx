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EarpN\Desktop\Avionics Quotes\Midwest PMS\"/>
    </mc:Choice>
  </mc:AlternateContent>
  <bookViews>
    <workbookView xWindow="0" yWindow="0" windowWidth="20490" windowHeight="7530"/>
  </bookViews>
  <sheets>
    <sheet name="ADS-B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E12" i="1"/>
  <c r="G6" i="1"/>
  <c r="I6" i="1" s="1"/>
  <c r="G7" i="1" l="1"/>
  <c r="I7" i="1" s="1"/>
  <c r="E8" i="1"/>
  <c r="E9" i="1"/>
  <c r="G9" i="1" s="1"/>
  <c r="I9" i="1" s="1"/>
  <c r="E10" i="1"/>
  <c r="G8" i="1" l="1"/>
  <c r="I8" i="1" s="1"/>
  <c r="G10" i="1"/>
  <c r="I10" i="1" s="1"/>
  <c r="G4" i="1" l="1"/>
  <c r="I4" i="1" s="1"/>
  <c r="G5" i="1"/>
  <c r="I5" i="1" s="1"/>
  <c r="I13" i="1" l="1"/>
  <c r="E14" i="1"/>
  <c r="G14" i="1" s="1"/>
  <c r="I14" i="1" s="1"/>
  <c r="G12" i="1"/>
  <c r="I12" i="1" s="1"/>
</calcChain>
</file>

<file path=xl/sharedStrings.xml><?xml version="1.0" encoding="utf-8"?>
<sst xmlns="http://schemas.openxmlformats.org/spreadsheetml/2006/main" count="12" uniqueCount="12">
  <si>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</si>
  <si>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</si>
  <si>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</si>
  <si>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</si>
  <si>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</si>
  <si>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</si>
  <si>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</si>
  <si>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</si>
  <si>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</si>
  <si>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Update G1000 Software (20 Hours)</t>
  </si>
  <si>
    <t>Upgrade Transponder 1 GTX-33 (-10) to GTX33ES (-30)</t>
  </si>
  <si>
    <t>Upgrade Transponder 2 GTX-33 (-10) to GTX33ES (-30)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</si>
</sst>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3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16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7"/>
  <sheetViews>
    <sheetView tabSelected="1" workbookViewId="0">
      <selection activeCell="E14" sqref="E14"/>
    </sheetView>
  </sheetViews>
  <sheetFormatPr defaultRowHeight="15" x14ac:dyDescent="0.25"/>
  <cols>
    <col min="2" max="2" width="39.1406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14.140625" style="5" bestFit="1" customWidth="1"/>
  </cols>
  <sheetData>
    <row r="3" spans="2:9" x14ac:dyDescent="0.25">
      <c r="B3" s="1"/>
      <c r="C3" s="10" t="s">
        <v>4</v>
      </c>
      <c r="D3" s="10"/>
      <c r="E3" s="11" t="s">
        <v>5</v>
      </c>
      <c r="F3" s="11"/>
      <c r="G3" s="10" t="s">
        <v>6</v>
      </c>
      <c r="H3" s="10"/>
      <c r="I3" s="10" t="s">
        <v>7</v>
      </c>
    </row>
    <row r="4" spans="2:9" x14ac:dyDescent="0.25">
      <c r="B4" s="2" t="s">
        <v>10</v>
      </c>
      <c r="C4" s="4">
        <v>975</v>
      </c>
      <c r="D4" s="4"/>
      <c r="E4" s="4">
        <v>1500</v>
      </c>
      <c r="F4" s="4"/>
      <c r="G4" s="8">
        <f t="shared" ref="G4:G10" si="0">E4-C4</f>
        <v>525</v>
      </c>
      <c r="H4" s="8"/>
      <c r="I4" s="9">
        <f>G4/E4</f>
        <v>0.35</v>
      </c>
    </row>
    <row r="5" spans="2:9" x14ac:dyDescent="0.25">
      <c r="B5" s="2" t="s">
        <v>11</v>
      </c>
      <c r="C5" s="4">
        <v>975</v>
      </c>
      <c r="D5" s="4"/>
      <c r="E5" s="4">
        <v>1500</v>
      </c>
      <c r="F5" s="4"/>
      <c r="G5" s="8">
        <f t="shared" si="0"/>
        <v>525</v>
      </c>
      <c r="H5" s="8"/>
      <c r="I5" s="9">
        <f t="shared" ref="I5:I10" si="1">G5/E5</f>
        <v>0.35</v>
      </c>
    </row>
    <row r="6" spans="2:9" x14ac:dyDescent="0.25">
      <c r="B6" s="2" t="s">
        <v>9</v>
      </c>
      <c r="C6" s="4">
        <v>900</v>
      </c>
      <c r="D6" s="4"/>
      <c r="E6" s="4">
        <v>1700</v>
      </c>
      <c r="F6" s="4"/>
      <c r="G6" s="8">
        <f t="shared" ref="G6:G9" si="2">E6-C6</f>
        <v>800</v>
      </c>
      <c r="H6" s="8"/>
      <c r="I6" s="9">
        <f t="shared" ref="I6:I9" si="3">G6/E6</f>
        <v>0.47058823529411764</v>
      </c>
    </row>
    <row r="7" spans="2:9" x14ac:dyDescent="0.25">
      <c r="B7" s="2" t="s">
        <v>0</v>
      </c>
      <c r="C7" s="4">
        <v>250</v>
      </c>
      <c r="D7" s="4"/>
      <c r="E7" s="4">
        <v>250</v>
      </c>
      <c r="F7" s="4"/>
      <c r="G7" s="8">
        <f t="shared" si="2"/>
        <v>0</v>
      </c>
      <c r="H7" s="8"/>
      <c r="I7" s="9">
        <f t="shared" si="3"/>
        <v>0</v>
      </c>
    </row>
    <row r="8" spans="2:9" x14ac:dyDescent="0.25">
      <c r="B8" s="2" t="s">
        <v>1</v>
      </c>
      <c r="C8" s="4">
        <v>0</v>
      </c>
      <c r="D8" s="4"/>
      <c r="E8" s="4">
        <f t="shared" ref="E8:E10" si="4">C8*1.176</f>
        <v>0</v>
      </c>
      <c r="F8" s="4"/>
      <c r="G8" s="8">
        <f t="shared" si="2"/>
        <v>0</v>
      </c>
      <c r="H8" s="8"/>
      <c r="I8" s="9" t="e">
        <f t="shared" si="3"/>
        <v>#DIV/0!</v>
      </c>
    </row>
    <row r="9" spans="2:9" x14ac:dyDescent="0.25">
      <c r="B9" s="2" t="s">
        <v>2</v>
      </c>
      <c r="C9" s="4">
        <v>0</v>
      </c>
      <c r="D9" s="4"/>
      <c r="E9" s="4">
        <f t="shared" si="4"/>
        <v>0</v>
      </c>
      <c r="F9" s="4"/>
      <c r="G9" s="8">
        <f t="shared" si="2"/>
        <v>0</v>
      </c>
      <c r="H9" s="8"/>
      <c r="I9" s="9" t="e">
        <f t="shared" si="3"/>
        <v>#DIV/0!</v>
      </c>
    </row>
    <row r="10" spans="2:9" x14ac:dyDescent="0.25">
      <c r="B10" s="2" t="s">
        <v>8</v>
      </c>
      <c r="C10" s="4">
        <v>0</v>
      </c>
      <c r="D10" s="4"/>
      <c r="E10" s="4">
        <f t="shared" si="4"/>
        <v>0</v>
      </c>
      <c r="F10" s="4"/>
      <c r="G10" s="8">
        <f t="shared" si="0"/>
        <v>0</v>
      </c>
      <c r="H10" s="8"/>
      <c r="I10" s="9" t="e">
        <f t="shared" si="1"/>
        <v>#DIV/0!</v>
      </c>
    </row>
    <row r="11" spans="2:9" ht="15.75" thickBot="1" x14ac:dyDescent="0.3">
      <c r="B11" s="2"/>
      <c r="C11" s="4"/>
      <c r="D11" s="4"/>
      <c r="E11" s="4"/>
      <c r="F11" s="4"/>
      <c r="G11" s="8"/>
      <c r="H11" s="8"/>
      <c r="I11" s="9"/>
    </row>
    <row r="12" spans="2:9" ht="15.75" thickTop="1" x14ac:dyDescent="0.25">
      <c r="B12" s="3" t="s">
        <v>3</v>
      </c>
      <c r="C12" s="7">
        <f>SUM(C4:C11)</f>
        <v>3100</v>
      </c>
      <c r="D12" s="4"/>
      <c r="E12" s="7">
        <f>SUM(E4:E11)</f>
        <v>4950</v>
      </c>
      <c r="F12" s="6"/>
      <c r="G12" s="7">
        <f>SUM(G4:G11)</f>
        <v>1850</v>
      </c>
      <c r="H12" s="6"/>
      <c r="I12" s="9">
        <f>G12/E12</f>
        <v>0.37373737373737376</v>
      </c>
    </row>
    <row r="13" spans="2:9" x14ac:dyDescent="0.25">
      <c r="E13" s="8">
        <v>0</v>
      </c>
      <c r="I13" s="9">
        <f>E13/E12</f>
        <v>0</v>
      </c>
    </row>
    <row r="14" spans="2:9" x14ac:dyDescent="0.25">
      <c r="E14" s="8">
        <f>E12+E13</f>
        <v>4950</v>
      </c>
      <c r="G14" s="8">
        <f>E14-C12</f>
        <v>1850</v>
      </c>
      <c r="I14" s="9">
        <f>G14/E14</f>
        <v>0.37373737373737376</v>
      </c>
    </row>
    <row r="15" spans="2:9" x14ac:dyDescent="0.25">
      <c r="E15" s="8"/>
    </row>
    <row r="16" spans="2:9" x14ac:dyDescent="0.25">
      <c r="E16" s="8"/>
    </row>
    <row r="17" spans="5:5" x14ac:dyDescent="0.25">
      <c r="E17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2017-01-26T21:44:16Z</dcterms:modified>
</cp:coreProperties>
</file>