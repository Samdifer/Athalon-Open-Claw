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ProServe 14RP\"/>
    </mc:Choice>
  </mc:AlternateContent>
  <bookViews>
    <workbookView xWindow="0" yWindow="0" windowWidth="20490" windowHeight="7530"/>
  </bookViews>
  <sheets>
    <sheet name="Sheet1" sheetId="1" r:id="rId1"/>
    <sheet name="Trade" sheetId="2" state="hidden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1" l="1"/>
  <c r="H30" i="1" s="1"/>
  <c r="G30" i="1" l="1"/>
  <c r="E77" i="1"/>
  <c r="G77" i="1" s="1"/>
  <c r="D84" i="1"/>
  <c r="F84" i="1"/>
  <c r="H84" i="1"/>
  <c r="C84" i="1"/>
  <c r="E81" i="1"/>
  <c r="G81" i="1" s="1"/>
  <c r="E80" i="1"/>
  <c r="G80" i="1" s="1"/>
  <c r="E79" i="1"/>
  <c r="G79" i="1" s="1"/>
  <c r="E78" i="1"/>
  <c r="G78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27" i="1"/>
  <c r="H27" i="1" s="1"/>
  <c r="E6" i="1"/>
  <c r="G6" i="1" s="1"/>
  <c r="E9" i="1"/>
  <c r="G9" i="1" s="1"/>
  <c r="E10" i="1"/>
  <c r="G10" i="1" s="1"/>
  <c r="E11" i="1"/>
  <c r="G11" i="1" s="1"/>
  <c r="E8" i="1"/>
  <c r="G8" i="1" s="1"/>
  <c r="E7" i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H21" i="1" s="1"/>
  <c r="E22" i="1"/>
  <c r="H22" i="1" s="1"/>
  <c r="E23" i="1"/>
  <c r="G23" i="1" s="1"/>
  <c r="E24" i="1"/>
  <c r="G24" i="1" s="1"/>
  <c r="E25" i="1"/>
  <c r="H25" i="1" s="1"/>
  <c r="E26" i="1"/>
  <c r="G26" i="1" s="1"/>
  <c r="G28" i="1"/>
  <c r="E29" i="1"/>
  <c r="G29" i="1" s="1"/>
  <c r="E31" i="1"/>
  <c r="G31" i="1" s="1"/>
  <c r="E32" i="1"/>
  <c r="G32" i="1" s="1"/>
  <c r="F35" i="1"/>
  <c r="C35" i="1"/>
  <c r="H4" i="1"/>
  <c r="G4" i="1"/>
  <c r="G5" i="1"/>
  <c r="G7" i="1" l="1"/>
  <c r="E35" i="1"/>
  <c r="G27" i="1"/>
  <c r="E84" i="1"/>
  <c r="G84" i="1"/>
  <c r="H24" i="1"/>
  <c r="G22" i="1"/>
  <c r="H26" i="1"/>
  <c r="G21" i="1"/>
  <c r="G25" i="1"/>
  <c r="E86" i="1" l="1"/>
  <c r="G86" i="1" s="1"/>
  <c r="C63" i="1"/>
  <c r="D10" i="2" l="1"/>
  <c r="E37" i="1" l="1"/>
  <c r="G37" i="1" s="1"/>
  <c r="G35" i="1" l="1"/>
</calcChain>
</file>

<file path=xl/sharedStrings.xml><?xml version="1.0" encoding="utf-8"?>
<sst xmlns="http://schemas.openxmlformats.org/spreadsheetml/2006/main" count="69" uniqueCount="53">
  <si>
    <t>Freight</t>
  </si>
  <si>
    <t>Consumables</t>
  </si>
  <si>
    <t>Engineering</t>
  </si>
  <si>
    <t>Total</t>
  </si>
  <si>
    <t>Cost</t>
  </si>
  <si>
    <t>Sell</t>
  </si>
  <si>
    <t>Gross Margin</t>
  </si>
  <si>
    <t>Garmin GTN-650</t>
  </si>
  <si>
    <t>Trade In</t>
  </si>
  <si>
    <t>less Flat Rate Cert</t>
  </si>
  <si>
    <t>less 25%</t>
  </si>
  <si>
    <t>Garmin 400W GPS (ILS Price)</t>
  </si>
  <si>
    <t>Garmin GMA-350</t>
  </si>
  <si>
    <t>Garmin GTN-750</t>
  </si>
  <si>
    <t>LH Panel</t>
  </si>
  <si>
    <t>CTR Panel</t>
  </si>
  <si>
    <t>Remove Equip</t>
  </si>
  <si>
    <t>Misc Wiring</t>
  </si>
  <si>
    <t>Interior in/Out</t>
  </si>
  <si>
    <t>Antenna</t>
  </si>
  <si>
    <t>Total Labor</t>
  </si>
  <si>
    <t>Labor Estimates</t>
  </si>
  <si>
    <t>SD Card Americas Database</t>
  </si>
  <si>
    <t>GA 35 GPS/WAAS antenna</t>
  </si>
  <si>
    <t>GTN 650 Pilot's Guide</t>
  </si>
  <si>
    <t>GTN 650 Cockpit Reference Guide</t>
  </si>
  <si>
    <t>GTN 750 Pilot's Guide</t>
  </si>
  <si>
    <t>GTN 750 Cockpit Reference Guide</t>
  </si>
  <si>
    <t>GMA 35 Remote Audio System</t>
  </si>
  <si>
    <t>* 16 Watt Comm Enablement</t>
  </si>
  <si>
    <t>Supplemental Type Certificate ST02427LA</t>
  </si>
  <si>
    <t>GDL 69A SXM Datalink Receiver System</t>
  </si>
  <si>
    <t>Flight Stream 510</t>
  </si>
  <si>
    <t>RH Panel</t>
  </si>
  <si>
    <t>GTX 3000 Transponder</t>
  </si>
  <si>
    <t xml:space="preserve">Glareshield </t>
  </si>
  <si>
    <t>Shadden</t>
  </si>
  <si>
    <t>XM WX</t>
  </si>
  <si>
    <t>* Chartview</t>
  </si>
  <si>
    <t>* TAWS-B</t>
  </si>
  <si>
    <t>Connector Kit, GTX 3000 (2)</t>
  </si>
  <si>
    <t>GTX 3000 Rack (2)</t>
  </si>
  <si>
    <t>Southern Star Glareshield Mod ST02989AT</t>
  </si>
  <si>
    <t>GTN 750 gray GPS/COM/NAV</t>
  </si>
  <si>
    <t>GTN 650 gray GPS/COM/NAV</t>
  </si>
  <si>
    <t>* Third Party Radar (ARINC 708) Enablement</t>
  </si>
  <si>
    <t>Flight Stream 210 Bluetooth Adapter</t>
  </si>
  <si>
    <t>GTX 3000 ES ADS-B out Transponder #1</t>
  </si>
  <si>
    <t>GTX 3000 ES ADS-B out Transponder #2</t>
  </si>
  <si>
    <t>1997 Cessna Citation V Ultra 560 0403 N14RP</t>
  </si>
  <si>
    <t>Used Shadin ADC200 (PN 962820-3)</t>
  </si>
  <si>
    <t>Installation 365 Hrs</t>
  </si>
  <si>
    <t>EL CB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</si>
</sst>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44" fontId="2" fillId="0" borderId="0" xfId="0" applyNumberFormat="1" applyFont="1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44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Fill="1" applyAlignment="1">
      <alignment horizontal="left"/>
    </xf>
    <xf numFmtId="44" fontId="2" fillId="0" borderId="0" xfId="0" applyNumberFormat="1" applyFont="1" applyAlignment="1">
      <alignment horizontal="right"/>
    </xf>
    <xf numFmtId="0" fontId="2" fillId="0" borderId="0" xfId="0" applyFont="1" applyFill="1"/>
    <xf numFmtId="44" fontId="2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0" fontId="1" fillId="0" borderId="0" xfId="0" applyFont="1" applyFill="1"/>
    <xf numFmtId="44" fontId="2" fillId="0" borderId="0" xfId="0" applyNumberFormat="1" applyFont="1"/>
    <xf numFmtId="44" fontId="2" fillId="0" borderId="0" xfId="0" applyNumberFormat="1" applyFont="1" applyAlignment="1">
      <alignment horizontal="center"/>
    </xf>
    <xf numFmtId="44" fontId="2" fillId="0" borderId="0" xfId="0" applyNumberFormat="1" applyFont="1" applyFill="1" applyAlignment="1">
      <alignment horizontal="center"/>
    </xf>
    <xf numFmtId="44" fontId="1" fillId="0" borderId="0" xfId="0" applyNumberFormat="1" applyFont="1" applyAlignment="1">
      <alignment horizontal="left" indent="1"/>
    </xf>
    <xf numFmtId="44" fontId="2" fillId="0" borderId="0" xfId="0" applyNumberFormat="1" applyFont="1" applyAlignment="1">
      <alignment horizontal="left"/>
    </xf>
    <xf numFmtId="44" fontId="2" fillId="0" borderId="0" xfId="0" applyNumberFormat="1" applyFont="1" applyFill="1" applyAlignment="1">
      <alignment horizontal="left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6"/>
  <sheetViews>
    <sheetView tabSelected="1" workbookViewId="0">
      <selection activeCell="G37" sqref="G37"/>
    </sheetView>
  </sheetViews>
  <sheetFormatPr defaultRowHeight="12.75" x14ac:dyDescent="0.2"/>
  <cols>
    <col min="1" max="1" width="3.28515625" style="1" customWidth="1"/>
    <col min="2" max="2" width="42.28515625" style="12" customWidth="1"/>
    <col min="3" max="3" width="22.42578125" style="2" customWidth="1"/>
    <col min="4" max="4" width="2.140625" style="2" customWidth="1"/>
    <col min="5" max="5" width="20.5703125" style="2" customWidth="1"/>
    <col min="6" max="6" width="1.7109375" style="2" customWidth="1"/>
    <col min="7" max="7" width="18.85546875" style="2" customWidth="1"/>
    <col min="8" max="8" width="2" style="9" customWidth="1"/>
    <col min="9" max="9" width="9.140625" style="1"/>
    <col min="10" max="10" width="10" style="1" bestFit="1" customWidth="1"/>
    <col min="11" max="16384" width="9.140625" style="1"/>
  </cols>
  <sheetData>
    <row r="1" spans="2:8" x14ac:dyDescent="0.2">
      <c r="B1" s="23" t="s">
        <v>49</v>
      </c>
    </row>
    <row r="3" spans="2:8" x14ac:dyDescent="0.2">
      <c r="B3" s="14"/>
      <c r="C3" s="20" t="s">
        <v>4</v>
      </c>
      <c r="D3" s="20"/>
      <c r="E3" s="20" t="s">
        <v>5</v>
      </c>
      <c r="F3" s="6"/>
      <c r="G3" s="6" t="s">
        <v>6</v>
      </c>
      <c r="H3" s="5"/>
    </row>
    <row r="4" spans="2:8" x14ac:dyDescent="0.2">
      <c r="B4" s="12" t="s">
        <v>30</v>
      </c>
      <c r="C4" s="21">
        <v>21500</v>
      </c>
      <c r="D4" s="21"/>
      <c r="E4" s="21">
        <v>21500</v>
      </c>
      <c r="F4" s="18"/>
      <c r="G4" s="11">
        <f t="shared" ref="G4" si="0">C4*F4</f>
        <v>0</v>
      </c>
      <c r="H4" s="11">
        <f t="shared" ref="H4" si="1">E4*F4</f>
        <v>0</v>
      </c>
    </row>
    <row r="5" spans="2:8" x14ac:dyDescent="0.2">
      <c r="B5" s="10" t="s">
        <v>42</v>
      </c>
      <c r="C5" s="21">
        <v>9900</v>
      </c>
      <c r="E5" s="21">
        <v>9900</v>
      </c>
      <c r="G5" s="2">
        <f t="shared" ref="G5:G32" si="2">E5-C5</f>
        <v>0</v>
      </c>
      <c r="H5" s="2"/>
    </row>
    <row r="6" spans="2:8" x14ac:dyDescent="0.2">
      <c r="B6" s="12" t="s">
        <v>43</v>
      </c>
      <c r="C6" s="21">
        <v>12745</v>
      </c>
      <c r="D6" s="21"/>
      <c r="E6" s="21">
        <f>ROUNDUP(C6*1.1765,0)</f>
        <v>14995</v>
      </c>
      <c r="G6" s="2">
        <f t="shared" si="2"/>
        <v>2250</v>
      </c>
      <c r="H6" s="2"/>
    </row>
    <row r="7" spans="2:8" x14ac:dyDescent="0.2">
      <c r="B7" s="12" t="s">
        <v>22</v>
      </c>
      <c r="C7" s="21">
        <v>416</v>
      </c>
      <c r="D7" s="21"/>
      <c r="E7" s="21">
        <f t="shared" ref="E7:E32" si="3">ROUNDUP(C7*1.1765,0)</f>
        <v>490</v>
      </c>
      <c r="G7" s="2">
        <f t="shared" si="2"/>
        <v>74</v>
      </c>
      <c r="H7" s="2"/>
    </row>
    <row r="8" spans="2:8" x14ac:dyDescent="0.2">
      <c r="B8" s="12" t="s">
        <v>29</v>
      </c>
      <c r="C8" s="21">
        <v>3745</v>
      </c>
      <c r="D8" s="21"/>
      <c r="E8" s="21">
        <f>ROUNDUP(C8*1.25,0)</f>
        <v>4682</v>
      </c>
      <c r="G8" s="2">
        <f t="shared" si="2"/>
        <v>937</v>
      </c>
      <c r="H8" s="2"/>
    </row>
    <row r="9" spans="2:8" x14ac:dyDescent="0.2">
      <c r="B9" s="12" t="s">
        <v>38</v>
      </c>
      <c r="C9" s="21">
        <v>1496</v>
      </c>
      <c r="D9" s="21"/>
      <c r="E9" s="21">
        <f t="shared" ref="E9:E11" si="4">ROUNDUP(C9*1.25,0)</f>
        <v>1870</v>
      </c>
      <c r="G9" s="2">
        <f t="shared" si="2"/>
        <v>374</v>
      </c>
      <c r="H9" s="2"/>
    </row>
    <row r="10" spans="2:8" x14ac:dyDescent="0.2">
      <c r="B10" s="12" t="s">
        <v>39</v>
      </c>
      <c r="C10" s="21">
        <v>0</v>
      </c>
      <c r="D10" s="21"/>
      <c r="E10" s="21">
        <f t="shared" si="4"/>
        <v>0</v>
      </c>
      <c r="G10" s="2">
        <f t="shared" si="2"/>
        <v>0</v>
      </c>
      <c r="H10" s="2"/>
    </row>
    <row r="11" spans="2:8" x14ac:dyDescent="0.2">
      <c r="B11" s="12" t="s">
        <v>45</v>
      </c>
      <c r="C11" s="21">
        <v>0</v>
      </c>
      <c r="D11" s="21"/>
      <c r="E11" s="21">
        <f t="shared" si="4"/>
        <v>0</v>
      </c>
      <c r="G11" s="2">
        <f t="shared" ref="G11" si="5">E11-C11</f>
        <v>0</v>
      </c>
      <c r="H11" s="2"/>
    </row>
    <row r="12" spans="2:8" x14ac:dyDescent="0.2">
      <c r="B12" s="12" t="s">
        <v>23</v>
      </c>
      <c r="C12" s="21">
        <v>264</v>
      </c>
      <c r="D12" s="21"/>
      <c r="E12" s="21">
        <f t="shared" si="3"/>
        <v>311</v>
      </c>
      <c r="G12" s="2">
        <f t="shared" si="2"/>
        <v>47</v>
      </c>
      <c r="H12" s="2"/>
    </row>
    <row r="13" spans="2:8" x14ac:dyDescent="0.2">
      <c r="B13" s="12" t="s">
        <v>26</v>
      </c>
      <c r="C13" s="21">
        <v>95</v>
      </c>
      <c r="D13" s="21"/>
      <c r="E13" s="21">
        <f t="shared" si="3"/>
        <v>112</v>
      </c>
      <c r="G13" s="2">
        <f t="shared" si="2"/>
        <v>17</v>
      </c>
      <c r="H13" s="2"/>
    </row>
    <row r="14" spans="2:8" x14ac:dyDescent="0.2">
      <c r="B14" s="12" t="s">
        <v>27</v>
      </c>
      <c r="C14" s="21">
        <v>35</v>
      </c>
      <c r="D14" s="21"/>
      <c r="E14" s="21">
        <f t="shared" si="3"/>
        <v>42</v>
      </c>
      <c r="G14" s="2">
        <f t="shared" si="2"/>
        <v>7</v>
      </c>
      <c r="H14" s="2"/>
    </row>
    <row r="15" spans="2:8" x14ac:dyDescent="0.2">
      <c r="B15" s="12" t="s">
        <v>44</v>
      </c>
      <c r="C15" s="21">
        <v>8620</v>
      </c>
      <c r="D15" s="21"/>
      <c r="E15" s="21">
        <f t="shared" si="3"/>
        <v>10142</v>
      </c>
      <c r="G15" s="2">
        <f t="shared" si="2"/>
        <v>1522</v>
      </c>
      <c r="H15" s="2"/>
    </row>
    <row r="16" spans="2:8" x14ac:dyDescent="0.2">
      <c r="B16" s="12" t="s">
        <v>22</v>
      </c>
      <c r="C16" s="21">
        <v>416</v>
      </c>
      <c r="D16" s="21"/>
      <c r="E16" s="21">
        <f t="shared" si="3"/>
        <v>490</v>
      </c>
      <c r="G16" s="2">
        <f t="shared" si="2"/>
        <v>74</v>
      </c>
      <c r="H16" s="2"/>
    </row>
    <row r="17" spans="2:8" x14ac:dyDescent="0.2">
      <c r="B17" s="12" t="s">
        <v>23</v>
      </c>
      <c r="C17" s="21">
        <v>264</v>
      </c>
      <c r="D17" s="21"/>
      <c r="E17" s="21">
        <f t="shared" si="3"/>
        <v>311</v>
      </c>
      <c r="G17" s="2">
        <f t="shared" si="2"/>
        <v>47</v>
      </c>
      <c r="H17" s="2"/>
    </row>
    <row r="18" spans="2:8" x14ac:dyDescent="0.2">
      <c r="B18" s="12" t="s">
        <v>24</v>
      </c>
      <c r="C18" s="21">
        <v>95</v>
      </c>
      <c r="D18" s="21"/>
      <c r="E18" s="21">
        <f t="shared" si="3"/>
        <v>112</v>
      </c>
      <c r="G18" s="2">
        <f t="shared" si="2"/>
        <v>17</v>
      </c>
      <c r="H18" s="2"/>
    </row>
    <row r="19" spans="2:8" x14ac:dyDescent="0.2">
      <c r="B19" s="12" t="s">
        <v>25</v>
      </c>
      <c r="C19" s="21">
        <v>35</v>
      </c>
      <c r="D19" s="21"/>
      <c r="E19" s="21">
        <f t="shared" si="3"/>
        <v>42</v>
      </c>
      <c r="G19" s="2">
        <f t="shared" si="2"/>
        <v>7</v>
      </c>
      <c r="H19" s="2"/>
    </row>
    <row r="20" spans="2:8" x14ac:dyDescent="0.2">
      <c r="B20" s="12" t="s">
        <v>28</v>
      </c>
      <c r="C20" s="21">
        <v>1950</v>
      </c>
      <c r="D20" s="21"/>
      <c r="E20" s="21">
        <f t="shared" si="3"/>
        <v>2295</v>
      </c>
      <c r="G20" s="2">
        <f t="shared" si="2"/>
        <v>345</v>
      </c>
      <c r="H20" s="2"/>
    </row>
    <row r="21" spans="2:8" x14ac:dyDescent="0.2">
      <c r="B21" s="12" t="s">
        <v>50</v>
      </c>
      <c r="C21" s="22">
        <v>2500</v>
      </c>
      <c r="D21" s="22"/>
      <c r="E21" s="21">
        <f t="shared" si="3"/>
        <v>2942</v>
      </c>
      <c r="F21" s="19"/>
      <c r="G21" s="2">
        <f t="shared" si="2"/>
        <v>442</v>
      </c>
      <c r="H21" s="13">
        <f t="shared" ref="H21" si="6">E21*F21</f>
        <v>0</v>
      </c>
    </row>
    <row r="22" spans="2:8" x14ac:dyDescent="0.2">
      <c r="B22" s="12" t="s">
        <v>47</v>
      </c>
      <c r="C22" s="21">
        <v>18170</v>
      </c>
      <c r="D22" s="21"/>
      <c r="E22" s="21">
        <f t="shared" si="3"/>
        <v>21378</v>
      </c>
      <c r="F22" s="18"/>
      <c r="G22" s="2">
        <f t="shared" si="2"/>
        <v>3208</v>
      </c>
      <c r="H22" s="11">
        <f t="shared" ref="H22:H25" si="7">E22*F22</f>
        <v>0</v>
      </c>
    </row>
    <row r="23" spans="2:8" x14ac:dyDescent="0.2">
      <c r="B23" s="12" t="s">
        <v>48</v>
      </c>
      <c r="C23" s="21">
        <v>18170</v>
      </c>
      <c r="D23" s="21"/>
      <c r="E23" s="21">
        <f t="shared" si="3"/>
        <v>21378</v>
      </c>
      <c r="F23" s="18"/>
      <c r="G23" s="2">
        <f t="shared" si="2"/>
        <v>3208</v>
      </c>
      <c r="H23" s="11"/>
    </row>
    <row r="24" spans="2:8" x14ac:dyDescent="0.2">
      <c r="B24" s="12" t="s">
        <v>40</v>
      </c>
      <c r="C24" s="21">
        <v>620</v>
      </c>
      <c r="D24" s="21"/>
      <c r="E24" s="21">
        <f t="shared" si="3"/>
        <v>730</v>
      </c>
      <c r="F24" s="18"/>
      <c r="G24" s="2">
        <f t="shared" si="2"/>
        <v>110</v>
      </c>
      <c r="H24" s="11">
        <f t="shared" si="7"/>
        <v>0</v>
      </c>
    </row>
    <row r="25" spans="2:8" x14ac:dyDescent="0.2">
      <c r="B25" s="12" t="s">
        <v>41</v>
      </c>
      <c r="C25" s="21">
        <v>540</v>
      </c>
      <c r="D25" s="21"/>
      <c r="E25" s="21">
        <f t="shared" si="3"/>
        <v>636</v>
      </c>
      <c r="F25" s="18"/>
      <c r="G25" s="2">
        <f t="shared" si="2"/>
        <v>96</v>
      </c>
      <c r="H25" s="11">
        <f t="shared" si="7"/>
        <v>0</v>
      </c>
    </row>
    <row r="26" spans="2:8" x14ac:dyDescent="0.2">
      <c r="B26" s="12" t="s">
        <v>31</v>
      </c>
      <c r="C26" s="21">
        <v>3597</v>
      </c>
      <c r="D26" s="21"/>
      <c r="E26" s="21">
        <f t="shared" si="3"/>
        <v>4232</v>
      </c>
      <c r="F26" s="18"/>
      <c r="G26" s="2">
        <f t="shared" si="2"/>
        <v>635</v>
      </c>
      <c r="H26" s="11">
        <f t="shared" ref="H26" si="8">E26*F26</f>
        <v>0</v>
      </c>
    </row>
    <row r="27" spans="2:8" x14ac:dyDescent="0.2">
      <c r="B27" s="12" t="s">
        <v>46</v>
      </c>
      <c r="C27" s="21">
        <v>750</v>
      </c>
      <c r="D27" s="21"/>
      <c r="E27" s="21">
        <f t="shared" si="3"/>
        <v>883</v>
      </c>
      <c r="F27" s="18"/>
      <c r="G27" s="2">
        <f t="shared" si="2"/>
        <v>133</v>
      </c>
      <c r="H27" s="11">
        <f t="shared" ref="H27" si="9">E27*F27</f>
        <v>0</v>
      </c>
    </row>
    <row r="28" spans="2:8" x14ac:dyDescent="0.2">
      <c r="B28" s="12" t="s">
        <v>51</v>
      </c>
      <c r="C28" s="21">
        <v>16425</v>
      </c>
      <c r="E28" s="21">
        <v>31025</v>
      </c>
      <c r="G28" s="2">
        <f t="shared" si="2"/>
        <v>14600</v>
      </c>
      <c r="H28" s="2"/>
    </row>
    <row r="29" spans="2:8" x14ac:dyDescent="0.2">
      <c r="B29" s="12" t="s">
        <v>0</v>
      </c>
      <c r="C29" s="21">
        <v>400</v>
      </c>
      <c r="E29" s="21">
        <f t="shared" si="3"/>
        <v>471</v>
      </c>
      <c r="G29" s="2">
        <f t="shared" si="2"/>
        <v>71</v>
      </c>
      <c r="H29" s="2"/>
    </row>
    <row r="30" spans="2:8" x14ac:dyDescent="0.2">
      <c r="B30" s="12" t="s">
        <v>52</v>
      </c>
      <c r="C30" s="21">
        <v>1200</v>
      </c>
      <c r="D30" s="21"/>
      <c r="E30" s="21">
        <f t="shared" ref="E30" si="10">ROUNDUP(C30*1.1765,0)</f>
        <v>1412</v>
      </c>
      <c r="F30" s="18"/>
      <c r="G30" s="2">
        <f t="shared" ref="G30" si="11">E30-C30</f>
        <v>212</v>
      </c>
      <c r="H30" s="11">
        <f t="shared" ref="H30" si="12">E30*F30</f>
        <v>0</v>
      </c>
    </row>
    <row r="31" spans="2:8" x14ac:dyDescent="0.2">
      <c r="B31" s="12" t="s">
        <v>1</v>
      </c>
      <c r="C31" s="21">
        <v>1350</v>
      </c>
      <c r="E31" s="21">
        <f t="shared" si="3"/>
        <v>1589</v>
      </c>
      <c r="G31" s="2">
        <f t="shared" si="2"/>
        <v>239</v>
      </c>
      <c r="H31" s="2"/>
    </row>
    <row r="32" spans="2:8" x14ac:dyDescent="0.2">
      <c r="B32" s="12" t="s">
        <v>2</v>
      </c>
      <c r="C32" s="21">
        <v>5100</v>
      </c>
      <c r="E32" s="21">
        <f t="shared" si="3"/>
        <v>6001</v>
      </c>
      <c r="G32" s="2">
        <f t="shared" si="2"/>
        <v>901</v>
      </c>
      <c r="H32" s="2"/>
    </row>
    <row r="33" spans="2:10" x14ac:dyDescent="0.2">
      <c r="H33" s="2"/>
    </row>
    <row r="34" spans="2:10" ht="13.5" thickBot="1" x14ac:dyDescent="0.25">
      <c r="B34" s="15"/>
      <c r="E34" s="3"/>
      <c r="F34" s="3"/>
      <c r="H34" s="2"/>
    </row>
    <row r="35" spans="2:10" ht="13.5" thickTop="1" x14ac:dyDescent="0.2">
      <c r="B35" s="15" t="s">
        <v>3</v>
      </c>
      <c r="C35" s="4">
        <f>SUM(C4:C33)</f>
        <v>130398</v>
      </c>
      <c r="D35" s="4"/>
      <c r="E35" s="4">
        <f>SUM(E4:E33)</f>
        <v>159971</v>
      </c>
      <c r="F35" s="4">
        <f>SUM(F4:F33)</f>
        <v>0</v>
      </c>
      <c r="G35" s="4">
        <f>SUM(G4:G33)</f>
        <v>29573</v>
      </c>
      <c r="H35" s="3"/>
      <c r="J35" s="17"/>
    </row>
    <row r="37" spans="2:10" x14ac:dyDescent="0.2">
      <c r="E37" s="2">
        <f>E35+E36</f>
        <v>159971</v>
      </c>
      <c r="G37" s="2">
        <f>E37-C35</f>
        <v>29573</v>
      </c>
    </row>
    <row r="44" spans="2:10" x14ac:dyDescent="0.2">
      <c r="B44" s="16" t="s">
        <v>21</v>
      </c>
    </row>
    <row r="46" spans="2:10" x14ac:dyDescent="0.2">
      <c r="B46" s="12" t="s">
        <v>14</v>
      </c>
      <c r="C46" s="2">
        <v>25</v>
      </c>
    </row>
    <row r="47" spans="2:10" x14ac:dyDescent="0.2">
      <c r="B47" s="12" t="s">
        <v>33</v>
      </c>
      <c r="C47" s="2">
        <v>25</v>
      </c>
    </row>
    <row r="48" spans="2:10" x14ac:dyDescent="0.2">
      <c r="B48" s="12" t="s">
        <v>15</v>
      </c>
      <c r="C48" s="2">
        <v>25</v>
      </c>
    </row>
    <row r="49" spans="2:3" x14ac:dyDescent="0.2">
      <c r="B49" s="12" t="s">
        <v>16</v>
      </c>
      <c r="C49" s="2">
        <v>40</v>
      </c>
    </row>
    <row r="50" spans="2:3" x14ac:dyDescent="0.2">
      <c r="B50" s="12" t="s">
        <v>18</v>
      </c>
      <c r="C50" s="2">
        <v>18</v>
      </c>
    </row>
    <row r="51" spans="2:3" x14ac:dyDescent="0.2">
      <c r="B51" s="10" t="s">
        <v>12</v>
      </c>
      <c r="C51" s="2">
        <v>36</v>
      </c>
    </row>
    <row r="52" spans="2:3" x14ac:dyDescent="0.2">
      <c r="B52" s="10" t="s">
        <v>13</v>
      </c>
      <c r="C52" s="2">
        <v>24</v>
      </c>
    </row>
    <row r="53" spans="2:3" x14ac:dyDescent="0.2">
      <c r="B53" s="10" t="s">
        <v>7</v>
      </c>
      <c r="C53" s="2">
        <v>24</v>
      </c>
    </row>
    <row r="54" spans="2:3" x14ac:dyDescent="0.2">
      <c r="B54" s="12" t="s">
        <v>34</v>
      </c>
      <c r="C54" s="2">
        <v>18</v>
      </c>
    </row>
    <row r="55" spans="2:3" x14ac:dyDescent="0.2">
      <c r="B55" s="12" t="s">
        <v>34</v>
      </c>
      <c r="C55" s="2">
        <v>18</v>
      </c>
    </row>
    <row r="56" spans="2:3" x14ac:dyDescent="0.2">
      <c r="B56" s="12" t="s">
        <v>35</v>
      </c>
      <c r="C56" s="2">
        <v>12</v>
      </c>
    </row>
    <row r="57" spans="2:3" x14ac:dyDescent="0.2">
      <c r="B57" s="12" t="s">
        <v>36</v>
      </c>
      <c r="C57" s="2">
        <v>12</v>
      </c>
    </row>
    <row r="58" spans="2:3" x14ac:dyDescent="0.2">
      <c r="B58" s="12" t="s">
        <v>37</v>
      </c>
      <c r="C58" s="2">
        <v>24</v>
      </c>
    </row>
    <row r="59" spans="2:3" x14ac:dyDescent="0.2">
      <c r="B59" s="12" t="s">
        <v>32</v>
      </c>
      <c r="C59" s="2">
        <v>12</v>
      </c>
    </row>
    <row r="60" spans="2:3" x14ac:dyDescent="0.2">
      <c r="B60" s="12" t="s">
        <v>17</v>
      </c>
      <c r="C60" s="2">
        <v>24</v>
      </c>
    </row>
    <row r="61" spans="2:3" x14ac:dyDescent="0.2">
      <c r="B61" s="12" t="s">
        <v>19</v>
      </c>
      <c r="C61" s="2">
        <v>24</v>
      </c>
    </row>
    <row r="63" spans="2:3" x14ac:dyDescent="0.2">
      <c r="B63" s="12" t="s">
        <v>20</v>
      </c>
      <c r="C63" s="2">
        <f>SUM(C46:C61)</f>
        <v>361</v>
      </c>
    </row>
    <row r="71" spans="2:8" x14ac:dyDescent="0.2">
      <c r="B71" s="12" t="s">
        <v>43</v>
      </c>
      <c r="C71" s="21">
        <v>12745</v>
      </c>
      <c r="D71" s="21"/>
      <c r="E71" s="21">
        <f>ROUNDUP(C71*1.1765,0)</f>
        <v>14995</v>
      </c>
      <c r="G71" s="2">
        <f t="shared" ref="G71:G81" si="13">E71-C71</f>
        <v>2250</v>
      </c>
      <c r="H71" s="2"/>
    </row>
    <row r="72" spans="2:8" x14ac:dyDescent="0.2">
      <c r="B72" s="12" t="s">
        <v>22</v>
      </c>
      <c r="C72" s="21">
        <v>416</v>
      </c>
      <c r="D72" s="21"/>
      <c r="E72" s="21">
        <f t="shared" ref="E72" si="14">ROUNDUP(C72*1.1765,0)</f>
        <v>490</v>
      </c>
      <c r="G72" s="2">
        <f t="shared" si="13"/>
        <v>74</v>
      </c>
      <c r="H72" s="2"/>
    </row>
    <row r="73" spans="2:8" x14ac:dyDescent="0.2">
      <c r="B73" s="12" t="s">
        <v>29</v>
      </c>
      <c r="C73" s="21">
        <v>3745</v>
      </c>
      <c r="D73" s="21"/>
      <c r="E73" s="21">
        <f>ROUNDUP(C73*1.25,0)</f>
        <v>4682</v>
      </c>
      <c r="G73" s="2">
        <f t="shared" si="13"/>
        <v>937</v>
      </c>
      <c r="H73" s="2"/>
    </row>
    <row r="74" spans="2:8" x14ac:dyDescent="0.2">
      <c r="B74" s="12" t="s">
        <v>23</v>
      </c>
      <c r="C74" s="21">
        <v>264</v>
      </c>
      <c r="D74" s="21"/>
      <c r="E74" s="21">
        <f t="shared" ref="E74:E81" si="15">ROUNDUP(C74*1.1765,0)</f>
        <v>311</v>
      </c>
      <c r="G74" s="2">
        <f t="shared" si="13"/>
        <v>47</v>
      </c>
      <c r="H74" s="2"/>
    </row>
    <row r="75" spans="2:8" x14ac:dyDescent="0.2">
      <c r="B75" s="12" t="s">
        <v>26</v>
      </c>
      <c r="C75" s="21">
        <v>95</v>
      </c>
      <c r="D75" s="21"/>
      <c r="E75" s="21">
        <f t="shared" si="15"/>
        <v>112</v>
      </c>
      <c r="G75" s="2">
        <f t="shared" si="13"/>
        <v>17</v>
      </c>
      <c r="H75" s="2"/>
    </row>
    <row r="76" spans="2:8" x14ac:dyDescent="0.2">
      <c r="B76" s="12" t="s">
        <v>27</v>
      </c>
      <c r="C76" s="21">
        <v>35</v>
      </c>
      <c r="D76" s="21"/>
      <c r="E76" s="21">
        <f t="shared" si="15"/>
        <v>42</v>
      </c>
      <c r="G76" s="2">
        <f t="shared" si="13"/>
        <v>7</v>
      </c>
      <c r="H76" s="2"/>
    </row>
    <row r="77" spans="2:8" x14ac:dyDescent="0.2">
      <c r="B77" s="12" t="s">
        <v>44</v>
      </c>
      <c r="C77" s="21">
        <v>-8620</v>
      </c>
      <c r="D77" s="21"/>
      <c r="E77" s="21">
        <f>ROUNDUP(C77*1.1765,0)</f>
        <v>-10142</v>
      </c>
      <c r="G77" s="2">
        <f t="shared" si="13"/>
        <v>-1522</v>
      </c>
      <c r="H77" s="2"/>
    </row>
    <row r="78" spans="2:8" x14ac:dyDescent="0.2">
      <c r="B78" s="12" t="s">
        <v>22</v>
      </c>
      <c r="C78" s="21">
        <v>-416</v>
      </c>
      <c r="D78" s="21"/>
      <c r="E78" s="21">
        <f t="shared" si="15"/>
        <v>-490</v>
      </c>
      <c r="G78" s="2">
        <f t="shared" si="13"/>
        <v>-74</v>
      </c>
      <c r="H78" s="2"/>
    </row>
    <row r="79" spans="2:8" x14ac:dyDescent="0.2">
      <c r="B79" s="12" t="s">
        <v>23</v>
      </c>
      <c r="C79" s="21">
        <v>-264</v>
      </c>
      <c r="D79" s="21"/>
      <c r="E79" s="21">
        <f t="shared" si="15"/>
        <v>-311</v>
      </c>
      <c r="G79" s="2">
        <f t="shared" si="13"/>
        <v>-47</v>
      </c>
      <c r="H79" s="2"/>
    </row>
    <row r="80" spans="2:8" x14ac:dyDescent="0.2">
      <c r="B80" s="12" t="s">
        <v>24</v>
      </c>
      <c r="C80" s="21">
        <v>-95</v>
      </c>
      <c r="D80" s="21"/>
      <c r="E80" s="21">
        <f t="shared" si="15"/>
        <v>-112</v>
      </c>
      <c r="G80" s="2">
        <f t="shared" si="13"/>
        <v>-17</v>
      </c>
      <c r="H80" s="2"/>
    </row>
    <row r="81" spans="2:8" x14ac:dyDescent="0.2">
      <c r="B81" s="12" t="s">
        <v>25</v>
      </c>
      <c r="C81" s="21">
        <v>-35</v>
      </c>
      <c r="D81" s="21"/>
      <c r="E81" s="21">
        <f t="shared" si="15"/>
        <v>-42</v>
      </c>
      <c r="G81" s="2">
        <f t="shared" si="13"/>
        <v>-7</v>
      </c>
      <c r="H81" s="2"/>
    </row>
    <row r="82" spans="2:8" x14ac:dyDescent="0.2">
      <c r="H82" s="2"/>
    </row>
    <row r="83" spans="2:8" ht="13.5" thickBot="1" x14ac:dyDescent="0.25">
      <c r="B83" s="15"/>
      <c r="E83" s="3"/>
      <c r="F83" s="3"/>
      <c r="H83" s="2"/>
    </row>
    <row r="84" spans="2:8" ht="13.5" thickTop="1" x14ac:dyDescent="0.2">
      <c r="B84" s="15" t="s">
        <v>3</v>
      </c>
      <c r="C84" s="4">
        <f t="shared" ref="C84:H84" si="16">SUM(C71:C81)</f>
        <v>7870</v>
      </c>
      <c r="D84" s="4">
        <f t="shared" si="16"/>
        <v>0</v>
      </c>
      <c r="E84" s="4">
        <f t="shared" si="16"/>
        <v>9535</v>
      </c>
      <c r="F84" s="4">
        <f t="shared" si="16"/>
        <v>0</v>
      </c>
      <c r="G84" s="4">
        <f t="shared" si="16"/>
        <v>1665</v>
      </c>
      <c r="H84" s="4">
        <f t="shared" si="16"/>
        <v>0</v>
      </c>
    </row>
    <row r="86" spans="2:8" x14ac:dyDescent="0.2">
      <c r="E86" s="2">
        <f>E84+E85</f>
        <v>9535</v>
      </c>
      <c r="G86" s="2">
        <f>E86-C84</f>
        <v>1665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5" x14ac:dyDescent="0.25"/>
  <cols>
    <col min="3" max="3" width="30.140625" customWidth="1"/>
    <col min="4" max="4" width="16" style="7" customWidth="1"/>
    <col min="6" max="7" width="10.5703125" bestFit="1" customWidth="1"/>
  </cols>
  <sheetData>
    <row r="4" spans="3:7" x14ac:dyDescent="0.25">
      <c r="C4" s="8" t="s">
        <v>8</v>
      </c>
    </row>
    <row r="6" spans="3:7" x14ac:dyDescent="0.25">
      <c r="C6" t="s">
        <v>11</v>
      </c>
      <c r="D6" s="7">
        <v>4650</v>
      </c>
      <c r="F6" s="7"/>
    </row>
    <row r="7" spans="3:7" x14ac:dyDescent="0.25">
      <c r="C7" t="s">
        <v>9</v>
      </c>
      <c r="D7" s="7">
        <v>-720</v>
      </c>
    </row>
    <row r="8" spans="3:7" x14ac:dyDescent="0.25">
      <c r="C8" t="s">
        <v>10</v>
      </c>
      <c r="D8" s="7">
        <v>-1250</v>
      </c>
    </row>
    <row r="10" spans="3:7" x14ac:dyDescent="0.25">
      <c r="C10" t="s">
        <v>8</v>
      </c>
      <c r="D10" s="7">
        <f>SUM(D6:D9)</f>
        <v>2680</v>
      </c>
      <c r="G10" s="7"/>
    </row>
    <row r="14" spans="3:7" x14ac:dyDescent="0.25">
      <c r="G1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cp:lastPrinted>2016-12-01T17:12:57Z</cp:lastPrinted>
  <dcterms:created xsi:type="dcterms:W3CDTF">2016-10-06T22:22:22Z</dcterms:created>
  <dcterms:modified xsi:type="dcterms:W3CDTF">2016-12-06T23:17:07Z</dcterms:modified>
</cp:coreProperties>
</file>