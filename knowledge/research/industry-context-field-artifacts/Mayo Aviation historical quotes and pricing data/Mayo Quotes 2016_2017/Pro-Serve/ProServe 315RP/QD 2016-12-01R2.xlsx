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arpN\Desktop\Avionics Quotes\ProServe 315RP\"/>
    </mc:Choice>
  </mc:AlternateContent>
  <bookViews>
    <workbookView xWindow="0" yWindow="0" windowWidth="20490" windowHeight="7530"/>
  </bookViews>
  <sheets>
    <sheet name="Sheet1" sheetId="1" r:id="rId1"/>
    <sheet name="Trade" sheetId="2" state="hidden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E23" i="1"/>
  <c r="G23" i="1" s="1"/>
  <c r="G17" i="1"/>
  <c r="E17" i="1"/>
  <c r="F86" i="1" l="1"/>
  <c r="H86" i="1"/>
  <c r="C86" i="1"/>
  <c r="G83" i="1"/>
  <c r="E82" i="1"/>
  <c r="G82" i="1" s="1"/>
  <c r="E81" i="1"/>
  <c r="G81" i="1" s="1"/>
  <c r="G80" i="1"/>
  <c r="G79" i="1"/>
  <c r="E78" i="1"/>
  <c r="G78" i="1" s="1"/>
  <c r="E77" i="1"/>
  <c r="G77" i="1" s="1"/>
  <c r="E76" i="1"/>
  <c r="G76" i="1" s="1"/>
  <c r="E75" i="1"/>
  <c r="G75" i="1" s="1"/>
  <c r="E12" i="1"/>
  <c r="E13" i="1"/>
  <c r="E14" i="1"/>
  <c r="E15" i="1"/>
  <c r="E86" i="1" l="1"/>
  <c r="G86" i="1"/>
  <c r="E10" i="1"/>
  <c r="E9" i="1"/>
  <c r="E88" i="1" l="1"/>
  <c r="G88" i="1" s="1"/>
  <c r="G14" i="1"/>
  <c r="G12" i="1"/>
  <c r="C65" i="1"/>
  <c r="E22" i="1"/>
  <c r="G22" i="1" s="1"/>
  <c r="G24" i="1"/>
  <c r="E16" i="1"/>
  <c r="G16" i="1" s="1"/>
  <c r="E18" i="1"/>
  <c r="G15" i="1"/>
  <c r="G13" i="1"/>
  <c r="G11" i="1"/>
  <c r="G10" i="1"/>
  <c r="G9" i="1"/>
  <c r="E6" i="1"/>
  <c r="G6" i="1" s="1"/>
  <c r="E7" i="1"/>
  <c r="G7" i="1" s="1"/>
  <c r="E8" i="1"/>
  <c r="G8" i="1" s="1"/>
  <c r="E5" i="1"/>
  <c r="C31" i="1" l="1"/>
  <c r="G18" i="1"/>
  <c r="E19" i="1"/>
  <c r="G19" i="1" s="1"/>
  <c r="G5" i="1"/>
  <c r="D10" i="2" l="1"/>
  <c r="E26" i="1" l="1"/>
  <c r="E21" i="1" l="1"/>
  <c r="G21" i="1" s="1"/>
  <c r="E27" i="1"/>
  <c r="E20" i="1"/>
  <c r="G20" i="1" s="1"/>
  <c r="E31" i="1" l="1"/>
  <c r="G28" i="1"/>
  <c r="E33" i="1" l="1"/>
  <c r="G33" i="1" s="1"/>
  <c r="G25" i="1"/>
  <c r="G26" i="1"/>
  <c r="G27" i="1"/>
  <c r="G31" i="1" l="1"/>
</calcChain>
</file>

<file path=xl/sharedStrings.xml><?xml version="1.0" encoding="utf-8"?>
<sst xmlns="http://schemas.openxmlformats.org/spreadsheetml/2006/main" count="64" uniqueCount="50">
  <si>
    <t>Freight</t>
  </si>
  <si>
    <t>Consumables</t>
  </si>
  <si>
    <t>Engineering</t>
  </si>
  <si>
    <t>Total</t>
  </si>
  <si>
    <t>Cost</t>
  </si>
  <si>
    <t>Sell</t>
  </si>
  <si>
    <t>Gross Margin</t>
  </si>
  <si>
    <t>Used Equip Margin</t>
  </si>
  <si>
    <t>Garmin Altitude Encoder(s)</t>
  </si>
  <si>
    <t>Garmin GTN-650</t>
  </si>
  <si>
    <t>Trade In</t>
  </si>
  <si>
    <t>less Flat Rate Cert</t>
  </si>
  <si>
    <t>less 25%</t>
  </si>
  <si>
    <t>Garmin 400W GPS (ILS Price)</t>
  </si>
  <si>
    <t>Garmin GMA-350</t>
  </si>
  <si>
    <t>Garmin GTN-750</t>
  </si>
  <si>
    <t>GTX 335 Transponder</t>
  </si>
  <si>
    <t>GTX 345 Transponder</t>
  </si>
  <si>
    <t>G600 Standard Left-side/GAD 43e PFD LRU Kit</t>
  </si>
  <si>
    <t>G600 Install Kit With GAD 43E</t>
  </si>
  <si>
    <t>G600 Product Information Kit</t>
  </si>
  <si>
    <t>G600 Supplemental Database Card</t>
  </si>
  <si>
    <t>* Radar Altimeter (ARINC 429) Enablement</t>
  </si>
  <si>
    <t>* Chartview Enablement</t>
  </si>
  <si>
    <t>* G600 Class-B TAWS Enablement</t>
  </si>
  <si>
    <t>LH Panel</t>
  </si>
  <si>
    <t>Flight Stream 210</t>
  </si>
  <si>
    <t>CTR Panel</t>
  </si>
  <si>
    <t>Remove Equip</t>
  </si>
  <si>
    <t>GTP 59 OAT Probe</t>
  </si>
  <si>
    <t>GDU 620 LH Display Unit</t>
  </si>
  <si>
    <t>GAD 43e Gyro Adapter</t>
  </si>
  <si>
    <t>GDC74A Air Data System</t>
  </si>
  <si>
    <t>GRS 77 AHRS</t>
  </si>
  <si>
    <t>GMU 44 Magnetometer</t>
  </si>
  <si>
    <t>Misc Wiring</t>
  </si>
  <si>
    <t>Interior in/Out</t>
  </si>
  <si>
    <t>Antenna</t>
  </si>
  <si>
    <t>Installation 300 Hrs</t>
  </si>
  <si>
    <t>Total Labor</t>
  </si>
  <si>
    <t>APS65 Mode Annunciator</t>
  </si>
  <si>
    <t>GA 35 GPS/WAAS antenna (3 Ea)</t>
  </si>
  <si>
    <t>Garmin GDL69A SXM Receiver</t>
  </si>
  <si>
    <t>Collins MAP65 AP Mode Annunciator (Used)</t>
  </si>
  <si>
    <t>Labor Estimates</t>
  </si>
  <si>
    <t>Mid-Continent MD302 Stby</t>
  </si>
  <si>
    <t>Installation 90 Hrs</t>
  </si>
  <si>
    <t>Garmin GTN-650 #1</t>
  </si>
  <si>
    <t>Garmin GTN-650 #2</t>
  </si>
  <si>
    <t>CB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</si>
</sst>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44" fontId="2" fillId="0" borderId="0" xfId="0" applyNumberFormat="1" applyFont="1" applyAlignment="1">
      <alignment horizontal="left" indent="1"/>
    </xf>
    <xf numFmtId="44" fontId="2" fillId="0" borderId="0" xfId="0" applyNumberFormat="1" applyFont="1" applyBorder="1" applyAlignment="1">
      <alignment horizontal="left" indent="1"/>
    </xf>
    <xf numFmtId="44" fontId="2" fillId="0" borderId="1" xfId="0" applyNumberFormat="1" applyFont="1" applyBorder="1" applyAlignment="1">
      <alignment horizontal="left" indent="1"/>
    </xf>
    <xf numFmtId="0" fontId="1" fillId="0" borderId="0" xfId="0" applyFont="1" applyAlignment="1">
      <alignment horizontal="right" indent="1"/>
    </xf>
    <xf numFmtId="44" fontId="1" fillId="0" borderId="0" xfId="0" applyNumberFormat="1" applyFont="1" applyAlignment="1">
      <alignment horizontal="right" indent="1"/>
    </xf>
    <xf numFmtId="4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 indent="1"/>
    </xf>
    <xf numFmtId="0" fontId="2" fillId="0" borderId="0" xfId="0" applyFont="1" applyFill="1" applyAlignment="1">
      <alignment horizontal="left"/>
    </xf>
    <xf numFmtId="44" fontId="2" fillId="0" borderId="0" xfId="0" applyNumberFormat="1" applyFont="1" applyFill="1" applyAlignment="1">
      <alignment horizontal="left" indent="1"/>
    </xf>
    <xf numFmtId="0" fontId="1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89"/>
  <sheetViews>
    <sheetView tabSelected="1" topLeftCell="A2" zoomScale="130" zoomScaleNormal="130" workbookViewId="0">
      <selection activeCell="E11" sqref="E11"/>
    </sheetView>
  </sheetViews>
  <sheetFormatPr defaultRowHeight="12.75" x14ac:dyDescent="0.2"/>
  <cols>
    <col min="1" max="1" width="3.28515625" style="2" customWidth="1"/>
    <col min="2" max="2" width="42.28515625" style="2" customWidth="1"/>
    <col min="3" max="3" width="22.42578125" style="12" customWidth="1"/>
    <col min="4" max="4" width="2.140625" style="12" customWidth="1"/>
    <col min="5" max="5" width="20.5703125" style="12" customWidth="1"/>
    <col min="6" max="6" width="1.7109375" style="12" customWidth="1"/>
    <col min="7" max="7" width="18.85546875" style="12" customWidth="1"/>
    <col min="8" max="8" width="2" style="12" customWidth="1"/>
    <col min="9" max="11" width="9.140625" style="2"/>
    <col min="12" max="12" width="10.5703125" style="2" bestFit="1" customWidth="1"/>
    <col min="13" max="16384" width="9.140625" style="2"/>
  </cols>
  <sheetData>
    <row r="3" spans="2:8" x14ac:dyDescent="0.2">
      <c r="B3" s="1"/>
      <c r="C3" s="7" t="s">
        <v>4</v>
      </c>
      <c r="D3" s="7"/>
      <c r="E3" s="8" t="s">
        <v>5</v>
      </c>
      <c r="F3" s="8"/>
      <c r="G3" s="7" t="s">
        <v>6</v>
      </c>
      <c r="H3" s="7"/>
    </row>
    <row r="4" spans="2:8" x14ac:dyDescent="0.2">
      <c r="B4" s="1"/>
      <c r="C4" s="7"/>
      <c r="D4" s="7"/>
      <c r="E4" s="8"/>
      <c r="F4" s="8"/>
      <c r="G4" s="7"/>
      <c r="H4" s="7"/>
    </row>
    <row r="5" spans="2:8" x14ac:dyDescent="0.2">
      <c r="B5" s="10" t="s">
        <v>18</v>
      </c>
      <c r="C5" s="4">
        <v>22226</v>
      </c>
      <c r="D5" s="4"/>
      <c r="E5" s="4">
        <f t="shared" ref="E5" si="0">C5*1.176</f>
        <v>26137.775999999998</v>
      </c>
      <c r="F5" s="4"/>
      <c r="G5" s="4">
        <f>E5-C5</f>
        <v>3911.775999999998</v>
      </c>
      <c r="H5" s="4"/>
    </row>
    <row r="6" spans="2:8" x14ac:dyDescent="0.2">
      <c r="B6" s="10" t="s">
        <v>19</v>
      </c>
      <c r="C6" s="4">
        <v>1140</v>
      </c>
      <c r="D6" s="4"/>
      <c r="E6" s="4">
        <f t="shared" ref="E6:E18" si="1">C6*1.176</f>
        <v>1340.6399999999999</v>
      </c>
      <c r="F6" s="4"/>
      <c r="G6" s="4">
        <f t="shared" ref="G6:G15" si="2">E6-C6</f>
        <v>200.63999999999987</v>
      </c>
      <c r="H6" s="4"/>
    </row>
    <row r="7" spans="2:8" x14ac:dyDescent="0.2">
      <c r="B7" s="10" t="s">
        <v>20</v>
      </c>
      <c r="C7" s="4">
        <v>199</v>
      </c>
      <c r="D7" s="4"/>
      <c r="E7" s="4">
        <f t="shared" si="1"/>
        <v>234.024</v>
      </c>
      <c r="F7" s="4"/>
      <c r="G7" s="4">
        <f t="shared" si="2"/>
        <v>35.024000000000001</v>
      </c>
      <c r="H7" s="4"/>
    </row>
    <row r="8" spans="2:8" x14ac:dyDescent="0.2">
      <c r="B8" s="10" t="s">
        <v>21</v>
      </c>
      <c r="C8" s="4">
        <v>431</v>
      </c>
      <c r="D8" s="4"/>
      <c r="E8" s="4">
        <f t="shared" si="1"/>
        <v>506.85599999999999</v>
      </c>
      <c r="F8" s="4"/>
      <c r="G8" s="4">
        <f t="shared" si="2"/>
        <v>75.855999999999995</v>
      </c>
      <c r="H8" s="4"/>
    </row>
    <row r="9" spans="2:8" x14ac:dyDescent="0.2">
      <c r="B9" s="10" t="s">
        <v>23</v>
      </c>
      <c r="C9" s="4">
        <v>1796</v>
      </c>
      <c r="D9" s="4"/>
      <c r="E9" s="4">
        <f>C9*1.333</f>
        <v>2394.0679999999998</v>
      </c>
      <c r="F9" s="4"/>
      <c r="G9" s="4">
        <f t="shared" si="2"/>
        <v>598.06799999999976</v>
      </c>
      <c r="H9" s="4"/>
    </row>
    <row r="10" spans="2:8" x14ac:dyDescent="0.2">
      <c r="B10" s="10" t="s">
        <v>22</v>
      </c>
      <c r="C10" s="4">
        <v>1796</v>
      </c>
      <c r="D10" s="4"/>
      <c r="E10" s="4">
        <f>C10*1.333</f>
        <v>2394.0679999999998</v>
      </c>
      <c r="F10" s="4"/>
      <c r="G10" s="4">
        <f t="shared" si="2"/>
        <v>598.06799999999976</v>
      </c>
      <c r="H10" s="4"/>
    </row>
    <row r="11" spans="2:8" x14ac:dyDescent="0.2">
      <c r="B11" s="10" t="s">
        <v>24</v>
      </c>
      <c r="C11" s="4">
        <v>5996</v>
      </c>
      <c r="D11" s="4"/>
      <c r="E11" s="4">
        <f>C11*1.333</f>
        <v>7992.6679999999997</v>
      </c>
      <c r="F11" s="4"/>
      <c r="G11" s="4">
        <f t="shared" si="2"/>
        <v>1996.6679999999997</v>
      </c>
      <c r="H11" s="4"/>
    </row>
    <row r="12" spans="2:8" x14ac:dyDescent="0.2">
      <c r="B12" s="13" t="s">
        <v>43</v>
      </c>
      <c r="C12" s="14">
        <v>3000</v>
      </c>
      <c r="D12" s="14"/>
      <c r="E12" s="4">
        <f t="shared" si="1"/>
        <v>3528</v>
      </c>
      <c r="F12" s="14"/>
      <c r="G12" s="14">
        <f t="shared" si="2"/>
        <v>528</v>
      </c>
      <c r="H12" s="14"/>
    </row>
    <row r="13" spans="2:8" x14ac:dyDescent="0.2">
      <c r="B13" s="10" t="s">
        <v>45</v>
      </c>
      <c r="C13" s="4">
        <v>7480</v>
      </c>
      <c r="D13" s="4"/>
      <c r="E13" s="4">
        <f t="shared" si="1"/>
        <v>8796.48</v>
      </c>
      <c r="F13" s="4"/>
      <c r="G13" s="4">
        <f t="shared" si="2"/>
        <v>1316.4799999999996</v>
      </c>
      <c r="H13" s="4"/>
    </row>
    <row r="14" spans="2:8" x14ac:dyDescent="0.2">
      <c r="B14" s="10" t="s">
        <v>42</v>
      </c>
      <c r="C14" s="4">
        <v>3596</v>
      </c>
      <c r="D14" s="4"/>
      <c r="E14" s="4">
        <f t="shared" si="1"/>
        <v>4228.8959999999997</v>
      </c>
      <c r="F14" s="4"/>
      <c r="G14" s="4">
        <f t="shared" si="2"/>
        <v>632.89599999999973</v>
      </c>
      <c r="H14" s="4"/>
    </row>
    <row r="15" spans="2:8" x14ac:dyDescent="0.2">
      <c r="B15" s="10" t="s">
        <v>41</v>
      </c>
      <c r="C15" s="4">
        <v>795</v>
      </c>
      <c r="D15" s="4"/>
      <c r="E15" s="4">
        <f t="shared" si="1"/>
        <v>934.92</v>
      </c>
      <c r="F15" s="4"/>
      <c r="G15" s="4">
        <f t="shared" si="2"/>
        <v>139.91999999999996</v>
      </c>
      <c r="H15" s="4"/>
    </row>
    <row r="16" spans="2:8" x14ac:dyDescent="0.2">
      <c r="B16" s="10" t="s">
        <v>14</v>
      </c>
      <c r="C16" s="4">
        <v>1496</v>
      </c>
      <c r="D16" s="4"/>
      <c r="E16" s="4">
        <f t="shared" si="1"/>
        <v>1759.2959999999998</v>
      </c>
      <c r="F16" s="4"/>
      <c r="G16" s="4">
        <f>E16-C16</f>
        <v>263.29599999999982</v>
      </c>
      <c r="H16" s="4"/>
    </row>
    <row r="17" spans="2:11" x14ac:dyDescent="0.2">
      <c r="B17" s="10" t="s">
        <v>47</v>
      </c>
      <c r="C17" s="4">
        <v>8550</v>
      </c>
      <c r="D17" s="4"/>
      <c r="E17" s="4">
        <f t="shared" ref="E17" si="3">C17*1.176</f>
        <v>10054.799999999999</v>
      </c>
      <c r="F17" s="4"/>
      <c r="G17" s="4">
        <f t="shared" ref="G17" si="4">E17-C17</f>
        <v>1504.7999999999993</v>
      </c>
      <c r="H17" s="4"/>
    </row>
    <row r="18" spans="2:11" x14ac:dyDescent="0.2">
      <c r="B18" s="10" t="s">
        <v>48</v>
      </c>
      <c r="C18" s="4">
        <v>8550</v>
      </c>
      <c r="D18" s="4"/>
      <c r="E18" s="4">
        <f t="shared" si="1"/>
        <v>10054.799999999999</v>
      </c>
      <c r="F18" s="4"/>
      <c r="G18" s="4">
        <f t="shared" ref="G18:G20" si="5">E18-C18</f>
        <v>1504.7999999999993</v>
      </c>
      <c r="H18" s="4"/>
      <c r="K18" s="16"/>
    </row>
    <row r="19" spans="2:11" x14ac:dyDescent="0.2">
      <c r="B19" s="2" t="s">
        <v>8</v>
      </c>
      <c r="C19" s="4">
        <v>420</v>
      </c>
      <c r="D19" s="4"/>
      <c r="E19" s="4">
        <f t="shared" ref="E19" si="6">C19*1.176</f>
        <v>493.91999999999996</v>
      </c>
      <c r="F19" s="4"/>
      <c r="G19" s="4">
        <f t="shared" si="5"/>
        <v>73.919999999999959</v>
      </c>
      <c r="H19" s="4"/>
    </row>
    <row r="20" spans="2:11" x14ac:dyDescent="0.2">
      <c r="B20" s="2" t="s">
        <v>17</v>
      </c>
      <c r="C20" s="4">
        <v>3746</v>
      </c>
      <c r="D20" s="4"/>
      <c r="E20" s="4">
        <f>C20*1.176</f>
        <v>4405.2959999999994</v>
      </c>
      <c r="F20" s="4"/>
      <c r="G20" s="4">
        <f t="shared" si="5"/>
        <v>659.29599999999937</v>
      </c>
      <c r="H20" s="4"/>
    </row>
    <row r="21" spans="2:11" x14ac:dyDescent="0.2">
      <c r="B21" s="2" t="s">
        <v>16</v>
      </c>
      <c r="C21" s="4">
        <v>2246</v>
      </c>
      <c r="D21" s="4"/>
      <c r="E21" s="4">
        <f t="shared" ref="E21:E27" si="7">C21*1.176</f>
        <v>2641.2959999999998</v>
      </c>
      <c r="F21" s="4"/>
      <c r="G21" s="4">
        <f>E21-C21</f>
        <v>395.29599999999982</v>
      </c>
      <c r="H21" s="4"/>
    </row>
    <row r="22" spans="2:11" x14ac:dyDescent="0.2">
      <c r="B22" s="2" t="s">
        <v>26</v>
      </c>
      <c r="C22" s="4">
        <v>750</v>
      </c>
      <c r="D22" s="4"/>
      <c r="E22" s="4">
        <f>C22*1.176</f>
        <v>882</v>
      </c>
      <c r="F22" s="4"/>
      <c r="G22" s="4">
        <f t="shared" ref="G22" si="8">E22-C22</f>
        <v>132</v>
      </c>
      <c r="H22" s="4"/>
    </row>
    <row r="23" spans="2:11" x14ac:dyDescent="0.2">
      <c r="B23" s="2" t="s">
        <v>49</v>
      </c>
      <c r="C23" s="4">
        <v>800</v>
      </c>
      <c r="D23" s="4"/>
      <c r="E23" s="4">
        <f>C23*1.176</f>
        <v>940.8</v>
      </c>
      <c r="F23" s="4"/>
      <c r="G23" s="4">
        <f t="shared" ref="G23" si="9">E23-C23</f>
        <v>140.79999999999995</v>
      </c>
      <c r="H23" s="4"/>
    </row>
    <row r="24" spans="2:11" x14ac:dyDescent="0.2">
      <c r="B24" s="2" t="s">
        <v>38</v>
      </c>
      <c r="C24" s="4">
        <v>13500</v>
      </c>
      <c r="D24" s="4"/>
      <c r="E24" s="4">
        <v>25500</v>
      </c>
      <c r="F24" s="4"/>
      <c r="G24" s="4">
        <f t="shared" ref="G24:G28" si="10">E24-C24</f>
        <v>12000</v>
      </c>
      <c r="H24" s="4"/>
    </row>
    <row r="25" spans="2:11" x14ac:dyDescent="0.2">
      <c r="B25" s="2" t="s">
        <v>0</v>
      </c>
      <c r="C25" s="4">
        <v>350</v>
      </c>
      <c r="D25" s="4"/>
      <c r="E25" s="4">
        <v>350</v>
      </c>
      <c r="F25" s="4"/>
      <c r="G25" s="4">
        <f t="shared" si="10"/>
        <v>0</v>
      </c>
      <c r="H25" s="4"/>
    </row>
    <row r="26" spans="2:11" x14ac:dyDescent="0.2">
      <c r="B26" s="2" t="s">
        <v>1</v>
      </c>
      <c r="C26" s="4">
        <v>2200</v>
      </c>
      <c r="D26" s="4"/>
      <c r="E26" s="4">
        <f t="shared" si="7"/>
        <v>2587.1999999999998</v>
      </c>
      <c r="F26" s="4"/>
      <c r="G26" s="4">
        <f t="shared" si="10"/>
        <v>387.19999999999982</v>
      </c>
      <c r="H26" s="4"/>
    </row>
    <row r="27" spans="2:11" x14ac:dyDescent="0.2">
      <c r="B27" s="2" t="s">
        <v>2</v>
      </c>
      <c r="C27" s="4">
        <v>5500</v>
      </c>
      <c r="D27" s="4"/>
      <c r="E27" s="4">
        <f t="shared" si="7"/>
        <v>6468</v>
      </c>
      <c r="F27" s="4"/>
      <c r="G27" s="4">
        <f t="shared" si="10"/>
        <v>968</v>
      </c>
      <c r="H27" s="4"/>
    </row>
    <row r="28" spans="2:11" x14ac:dyDescent="0.2">
      <c r="B28" s="2" t="s">
        <v>7</v>
      </c>
      <c r="C28" s="4">
        <v>0</v>
      </c>
      <c r="D28" s="4"/>
      <c r="E28" s="4"/>
      <c r="F28" s="4"/>
      <c r="G28" s="4">
        <f t="shared" si="10"/>
        <v>0</v>
      </c>
      <c r="H28" s="4"/>
    </row>
    <row r="29" spans="2:11" x14ac:dyDescent="0.2">
      <c r="C29" s="4"/>
      <c r="D29" s="4"/>
      <c r="E29" s="4"/>
      <c r="F29" s="4"/>
      <c r="G29" s="4"/>
      <c r="H29" s="4"/>
    </row>
    <row r="30" spans="2:11" ht="13.5" thickBot="1" x14ac:dyDescent="0.25">
      <c r="B30" s="3"/>
      <c r="C30" s="4"/>
      <c r="D30" s="4"/>
      <c r="E30" s="5"/>
      <c r="F30" s="5"/>
      <c r="G30" s="4"/>
      <c r="H30" s="4"/>
    </row>
    <row r="31" spans="2:11" ht="13.5" thickTop="1" x14ac:dyDescent="0.2">
      <c r="B31" s="3" t="s">
        <v>3</v>
      </c>
      <c r="C31" s="6">
        <f>SUM(C5:C30)</f>
        <v>96563</v>
      </c>
      <c r="D31" s="4"/>
      <c r="E31" s="6">
        <f>SUM(E5:E30)</f>
        <v>124625.804</v>
      </c>
      <c r="F31" s="5"/>
      <c r="G31" s="6">
        <f>SUM(G5:G30)</f>
        <v>28062.803999999993</v>
      </c>
      <c r="H31" s="5"/>
    </row>
    <row r="32" spans="2:11" x14ac:dyDescent="0.2">
      <c r="E32" s="4">
        <v>-2250</v>
      </c>
    </row>
    <row r="33" spans="2:7" x14ac:dyDescent="0.2">
      <c r="E33" s="4">
        <f>E31+E32</f>
        <v>122375.804</v>
      </c>
      <c r="G33" s="4">
        <f>E33-C31</f>
        <v>25812.804000000004</v>
      </c>
    </row>
    <row r="34" spans="2:7" x14ac:dyDescent="0.2">
      <c r="E34" s="4"/>
      <c r="G34" s="4"/>
    </row>
    <row r="35" spans="2:7" x14ac:dyDescent="0.2">
      <c r="E35" s="4"/>
      <c r="G35" s="4"/>
    </row>
    <row r="36" spans="2:7" x14ac:dyDescent="0.2">
      <c r="E36" s="4"/>
      <c r="G36" s="4"/>
    </row>
    <row r="37" spans="2:7" x14ac:dyDescent="0.2">
      <c r="E37" s="4"/>
      <c r="G37" s="4"/>
    </row>
    <row r="38" spans="2:7" x14ac:dyDescent="0.2">
      <c r="E38" s="4"/>
      <c r="G38" s="4"/>
    </row>
    <row r="43" spans="2:7" x14ac:dyDescent="0.2">
      <c r="B43" s="15" t="s">
        <v>44</v>
      </c>
    </row>
    <row r="45" spans="2:7" x14ac:dyDescent="0.2">
      <c r="B45" s="2" t="s">
        <v>25</v>
      </c>
      <c r="C45" s="12">
        <v>40</v>
      </c>
    </row>
    <row r="46" spans="2:7" x14ac:dyDescent="0.2">
      <c r="B46" s="2" t="s">
        <v>27</v>
      </c>
      <c r="C46" s="12">
        <v>40</v>
      </c>
    </row>
    <row r="47" spans="2:7" x14ac:dyDescent="0.2">
      <c r="B47" s="2" t="s">
        <v>28</v>
      </c>
      <c r="C47" s="12">
        <v>24</v>
      </c>
    </row>
    <row r="48" spans="2:7" x14ac:dyDescent="0.2">
      <c r="B48" s="2" t="s">
        <v>36</v>
      </c>
      <c r="C48" s="12">
        <v>24</v>
      </c>
    </row>
    <row r="49" spans="2:3" x14ac:dyDescent="0.2">
      <c r="B49" s="2" t="s">
        <v>30</v>
      </c>
      <c r="C49" s="12">
        <v>12</v>
      </c>
    </row>
    <row r="50" spans="2:3" x14ac:dyDescent="0.2">
      <c r="B50" s="2" t="s">
        <v>31</v>
      </c>
      <c r="C50" s="12">
        <v>12</v>
      </c>
    </row>
    <row r="51" spans="2:3" x14ac:dyDescent="0.2">
      <c r="B51" s="2" t="s">
        <v>32</v>
      </c>
      <c r="C51" s="12">
        <v>8</v>
      </c>
    </row>
    <row r="52" spans="2:3" x14ac:dyDescent="0.2">
      <c r="B52" s="2" t="s">
        <v>33</v>
      </c>
      <c r="C52" s="12">
        <v>8</v>
      </c>
    </row>
    <row r="53" spans="2:3" x14ac:dyDescent="0.2">
      <c r="B53" s="2" t="s">
        <v>34</v>
      </c>
      <c r="C53" s="12">
        <v>16</v>
      </c>
    </row>
    <row r="54" spans="2:3" x14ac:dyDescent="0.2">
      <c r="B54" s="2" t="s">
        <v>29</v>
      </c>
      <c r="C54" s="12">
        <v>8</v>
      </c>
    </row>
    <row r="55" spans="2:3" x14ac:dyDescent="0.2">
      <c r="B55" s="2" t="s">
        <v>40</v>
      </c>
      <c r="C55" s="12">
        <v>12</v>
      </c>
    </row>
    <row r="56" spans="2:3" x14ac:dyDescent="0.2">
      <c r="B56" s="10" t="s">
        <v>14</v>
      </c>
      <c r="C56" s="12">
        <v>12</v>
      </c>
    </row>
    <row r="57" spans="2:3" x14ac:dyDescent="0.2">
      <c r="B57" s="10" t="s">
        <v>15</v>
      </c>
      <c r="C57" s="12">
        <v>8</v>
      </c>
    </row>
    <row r="58" spans="2:3" x14ac:dyDescent="0.2">
      <c r="B58" s="10" t="s">
        <v>9</v>
      </c>
      <c r="C58" s="12">
        <v>8</v>
      </c>
    </row>
    <row r="59" spans="2:3" x14ac:dyDescent="0.2">
      <c r="B59" s="2" t="s">
        <v>17</v>
      </c>
      <c r="C59" s="12">
        <v>8</v>
      </c>
    </row>
    <row r="60" spans="2:3" x14ac:dyDescent="0.2">
      <c r="B60" s="2" t="s">
        <v>16</v>
      </c>
      <c r="C60" s="12">
        <v>8</v>
      </c>
    </row>
    <row r="61" spans="2:3" x14ac:dyDescent="0.2">
      <c r="B61" s="2" t="s">
        <v>26</v>
      </c>
      <c r="C61" s="12">
        <v>4</v>
      </c>
    </row>
    <row r="62" spans="2:3" x14ac:dyDescent="0.2">
      <c r="B62" s="2" t="s">
        <v>35</v>
      </c>
      <c r="C62" s="12">
        <v>24</v>
      </c>
    </row>
    <row r="63" spans="2:3" x14ac:dyDescent="0.2">
      <c r="B63" s="2" t="s">
        <v>37</v>
      </c>
      <c r="C63" s="12">
        <v>24</v>
      </c>
    </row>
    <row r="65" spans="2:8" x14ac:dyDescent="0.2">
      <c r="B65" s="2" t="s">
        <v>39</v>
      </c>
      <c r="C65" s="12">
        <f>SUM(C45:C63)</f>
        <v>300</v>
      </c>
    </row>
    <row r="74" spans="2:8" x14ac:dyDescent="0.2">
      <c r="B74" s="10"/>
      <c r="C74" s="4"/>
      <c r="D74" s="4"/>
      <c r="E74" s="4"/>
      <c r="F74" s="4"/>
      <c r="G74" s="4"/>
      <c r="H74" s="4"/>
    </row>
    <row r="75" spans="2:8" x14ac:dyDescent="0.2">
      <c r="B75" s="10" t="s">
        <v>18</v>
      </c>
      <c r="C75" s="4">
        <v>22226</v>
      </c>
      <c r="D75" s="4"/>
      <c r="E75" s="4">
        <f t="shared" ref="E75:E78" si="11">C75*1.176</f>
        <v>26137.775999999998</v>
      </c>
      <c r="F75" s="4"/>
      <c r="G75" s="4">
        <f>E75-C75</f>
        <v>3911.775999999998</v>
      </c>
      <c r="H75" s="4"/>
    </row>
    <row r="76" spans="2:8" x14ac:dyDescent="0.2">
      <c r="B76" s="10" t="s">
        <v>19</v>
      </c>
      <c r="C76" s="4">
        <v>1140</v>
      </c>
      <c r="D76" s="4"/>
      <c r="E76" s="4">
        <f t="shared" si="11"/>
        <v>1340.6399999999999</v>
      </c>
      <c r="F76" s="4"/>
      <c r="G76" s="4">
        <f t="shared" ref="G76:G83" si="12">E76-C76</f>
        <v>200.63999999999987</v>
      </c>
      <c r="H76" s="4"/>
    </row>
    <row r="77" spans="2:8" x14ac:dyDescent="0.2">
      <c r="B77" s="10" t="s">
        <v>20</v>
      </c>
      <c r="C77" s="4">
        <v>199</v>
      </c>
      <c r="D77" s="4"/>
      <c r="E77" s="4">
        <f t="shared" si="11"/>
        <v>234.024</v>
      </c>
      <c r="F77" s="4"/>
      <c r="G77" s="4">
        <f t="shared" si="12"/>
        <v>35.024000000000001</v>
      </c>
      <c r="H77" s="4"/>
    </row>
    <row r="78" spans="2:8" x14ac:dyDescent="0.2">
      <c r="B78" s="10" t="s">
        <v>21</v>
      </c>
      <c r="C78" s="4">
        <v>431</v>
      </c>
      <c r="D78" s="4"/>
      <c r="E78" s="4">
        <f t="shared" si="11"/>
        <v>506.85599999999999</v>
      </c>
      <c r="F78" s="4"/>
      <c r="G78" s="4">
        <f t="shared" si="12"/>
        <v>75.855999999999995</v>
      </c>
      <c r="H78" s="4"/>
    </row>
    <row r="79" spans="2:8" x14ac:dyDescent="0.2">
      <c r="B79" s="2" t="s">
        <v>46</v>
      </c>
      <c r="C79" s="4">
        <v>4050</v>
      </c>
      <c r="D79" s="4"/>
      <c r="E79" s="4">
        <v>7650</v>
      </c>
      <c r="F79" s="4"/>
      <c r="G79" s="4">
        <f t="shared" si="12"/>
        <v>3600</v>
      </c>
      <c r="H79" s="4"/>
    </row>
    <row r="80" spans="2:8" x14ac:dyDescent="0.2">
      <c r="B80" s="2" t="s">
        <v>0</v>
      </c>
      <c r="C80" s="4">
        <v>125</v>
      </c>
      <c r="D80" s="4"/>
      <c r="E80" s="4">
        <v>125</v>
      </c>
      <c r="F80" s="4"/>
      <c r="G80" s="4">
        <f t="shared" si="12"/>
        <v>0</v>
      </c>
      <c r="H80" s="4"/>
    </row>
    <row r="81" spans="2:8" x14ac:dyDescent="0.2">
      <c r="B81" s="2" t="s">
        <v>1</v>
      </c>
      <c r="C81" s="4">
        <v>450</v>
      </c>
      <c r="D81" s="4"/>
      <c r="E81" s="4">
        <f t="shared" ref="E81:E82" si="13">C81*1.176</f>
        <v>529.19999999999993</v>
      </c>
      <c r="F81" s="4"/>
      <c r="G81" s="4">
        <f t="shared" si="12"/>
        <v>79.199999999999932</v>
      </c>
      <c r="H81" s="4"/>
    </row>
    <row r="82" spans="2:8" x14ac:dyDescent="0.2">
      <c r="B82" s="2" t="s">
        <v>2</v>
      </c>
      <c r="C82" s="4">
        <v>2050</v>
      </c>
      <c r="D82" s="4"/>
      <c r="E82" s="4">
        <f t="shared" si="13"/>
        <v>2410.7999999999997</v>
      </c>
      <c r="F82" s="4"/>
      <c r="G82" s="4">
        <f t="shared" si="12"/>
        <v>360.79999999999973</v>
      </c>
      <c r="H82" s="4"/>
    </row>
    <row r="83" spans="2:8" x14ac:dyDescent="0.2">
      <c r="B83" s="2" t="s">
        <v>7</v>
      </c>
      <c r="C83" s="4">
        <v>0</v>
      </c>
      <c r="D83" s="4"/>
      <c r="E83" s="4"/>
      <c r="F83" s="4"/>
      <c r="G83" s="4">
        <f t="shared" si="12"/>
        <v>0</v>
      </c>
      <c r="H83" s="4"/>
    </row>
    <row r="84" spans="2:8" x14ac:dyDescent="0.2">
      <c r="C84" s="4"/>
      <c r="D84" s="4"/>
      <c r="E84" s="4"/>
      <c r="F84" s="4"/>
      <c r="G84" s="4"/>
      <c r="H84" s="4"/>
    </row>
    <row r="85" spans="2:8" ht="13.5" thickBot="1" x14ac:dyDescent="0.25">
      <c r="B85" s="3"/>
      <c r="C85" s="4"/>
      <c r="D85" s="4"/>
      <c r="E85" s="5"/>
      <c r="F85" s="5"/>
      <c r="G85" s="4"/>
      <c r="H85" s="4"/>
    </row>
    <row r="86" spans="2:8" ht="13.5" thickTop="1" x14ac:dyDescent="0.2">
      <c r="B86" s="3" t="s">
        <v>3</v>
      </c>
      <c r="C86" s="6">
        <f>SUM(C74:C84)</f>
        <v>30671</v>
      </c>
      <c r="D86" s="6"/>
      <c r="E86" s="6">
        <f t="shared" ref="E86:H86" si="14">SUM(E74:E84)</f>
        <v>38934.296000000002</v>
      </c>
      <c r="F86" s="6">
        <f t="shared" si="14"/>
        <v>0</v>
      </c>
      <c r="G86" s="6">
        <f t="shared" si="14"/>
        <v>8263.2959999999966</v>
      </c>
      <c r="H86" s="6">
        <f t="shared" si="14"/>
        <v>0</v>
      </c>
    </row>
    <row r="87" spans="2:8" x14ac:dyDescent="0.2">
      <c r="E87" s="4">
        <v>0</v>
      </c>
    </row>
    <row r="88" spans="2:8" x14ac:dyDescent="0.2">
      <c r="E88" s="4">
        <f>E86+E87</f>
        <v>38934.296000000002</v>
      </c>
      <c r="G88" s="4">
        <f>E88-C86</f>
        <v>8263.2960000000021</v>
      </c>
    </row>
    <row r="89" spans="2:8" x14ac:dyDescent="0.2">
      <c r="E89" s="4"/>
      <c r="G89" s="4"/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G14"/>
  <sheetViews>
    <sheetView workbookViewId="0">
      <selection activeCell="C17" sqref="C17"/>
    </sheetView>
  </sheetViews>
  <sheetFormatPr defaultRowHeight="15" x14ac:dyDescent="0.25"/>
  <cols>
    <col min="3" max="3" width="30.140625" customWidth="1"/>
    <col min="4" max="4" width="16" style="9" customWidth="1"/>
    <col min="6" max="7" width="10.5703125" bestFit="1" customWidth="1"/>
  </cols>
  <sheetData>
    <row r="4" spans="3:7" x14ac:dyDescent="0.25">
      <c r="C4" s="11" t="s">
        <v>10</v>
      </c>
    </row>
    <row r="6" spans="3:7" x14ac:dyDescent="0.25">
      <c r="C6" t="s">
        <v>13</v>
      </c>
      <c r="D6" s="9">
        <v>4650</v>
      </c>
      <c r="F6" s="9"/>
    </row>
    <row r="7" spans="3:7" x14ac:dyDescent="0.25">
      <c r="C7" t="s">
        <v>11</v>
      </c>
      <c r="D7" s="9">
        <v>-720</v>
      </c>
    </row>
    <row r="8" spans="3:7" x14ac:dyDescent="0.25">
      <c r="C8" t="s">
        <v>12</v>
      </c>
      <c r="D8" s="9">
        <v>-1250</v>
      </c>
    </row>
    <row r="10" spans="3:7" x14ac:dyDescent="0.25">
      <c r="C10" t="s">
        <v>10</v>
      </c>
      <c r="D10" s="9">
        <f>SUM(D6:D9)</f>
        <v>2680</v>
      </c>
      <c r="G10" s="9"/>
    </row>
    <row r="14" spans="3:7" x14ac:dyDescent="0.25">
      <c r="G14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cp:lastPrinted>2016-12-01T17:12:57Z</cp:lastPrinted>
  <dcterms:created xsi:type="dcterms:W3CDTF">2016-10-06T22:22:22Z</dcterms:created>
  <dcterms:modified xsi:type="dcterms:W3CDTF">2016-12-08T16:57:40Z</dcterms:modified>
</cp:coreProperties>
</file>