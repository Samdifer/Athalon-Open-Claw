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Francis Aviation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G21" i="1"/>
  <c r="G19" i="1"/>
  <c r="L12" i="1"/>
  <c r="E6" i="1"/>
  <c r="E7" i="1"/>
  <c r="E8" i="1"/>
  <c r="E9" i="1"/>
  <c r="E12" i="1"/>
  <c r="E13" i="1"/>
  <c r="E14" i="1"/>
  <c r="E5" i="1"/>
  <c r="L6" i="1" l="1"/>
  <c r="M6" i="1" s="1"/>
  <c r="G14" i="1" l="1"/>
  <c r="G5" i="1" l="1"/>
  <c r="I5" i="1" s="1"/>
  <c r="G6" i="1"/>
  <c r="G7" i="1"/>
  <c r="G8" i="1"/>
  <c r="G9" i="1"/>
  <c r="G10" i="1"/>
  <c r="G11" i="1"/>
  <c r="I11" i="1" s="1"/>
  <c r="G12" i="1"/>
  <c r="I12" i="1" s="1"/>
  <c r="G13" i="1"/>
  <c r="I13" i="1" s="1"/>
  <c r="G4" i="1"/>
  <c r="I4" i="1" s="1"/>
  <c r="C19" i="1"/>
  <c r="E19" i="1"/>
  <c r="E21" i="1" s="1"/>
  <c r="I10" i="1" l="1"/>
  <c r="I19" i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Nathanael Earp:</t>
        </r>
        <r>
          <rPr>
            <sz val="9"/>
            <color indexed="81"/>
            <rFont val="Tahoma"/>
            <family val="2"/>
          </rPr>
          <t xml:space="preserve">
$7650.00 if required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Nathanael Earp:</t>
        </r>
        <r>
          <rPr>
            <sz val="9"/>
            <color indexed="81"/>
            <rFont val="Tahoma"/>
            <family val="2"/>
          </rPr>
          <t xml:space="preserve">
$6,599.00 If Required</t>
        </r>
      </text>
    </comment>
  </commentList>
</comments>
</file>

<file path=xl/sharedStrings.xml><?xml version="1.0" encoding="utf-8"?>
<sst xmlns="http://schemas.openxmlformats.org/spreadsheetml/2006/main" count="16" uniqueCount="16">
  <si>
    <t>Supplemental Type Certificate(s)</t>
  </si>
  <si>
    <t>Upgrade RTU 42XX</t>
  </si>
  <si>
    <t>Upgrade GPS-4000S GPS (1)</t>
  </si>
  <si>
    <t>Sensor Systems GPS Antenna</t>
  </si>
  <si>
    <t>New IOC-3100 Concentrator (2)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</si>
  <si>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</si>
  <si>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</si>
  <si>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</si>
  <si>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</si>
  <si>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</si>
  <si>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</si>
  <si>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</si>
  <si>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</si>
  <si>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</si>
  <si>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Upgrade TDR-94D Transponders</t>
  </si>
  <si>
    <t>Installation 60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</si>
</sst>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2" fillId="0" borderId="0" xfId="0" applyNumberFormat="1" applyFont="1" applyAlignment="1">
      <alignment horizontal="right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M21"/>
  <sheetViews>
    <sheetView tabSelected="1" workbookViewId="0">
      <selection activeCell="G26" sqref="G26"/>
    </sheetView>
  </sheetViews>
  <sheetFormatPr defaultRowHeight="12.75" x14ac:dyDescent="0.2"/>
  <cols>
    <col min="1" max="1" width="9.140625" style="3"/>
    <col min="2" max="2" width="31.42578125" style="3" customWidth="1"/>
    <col min="3" max="3" width="22.42578125" style="11" customWidth="1"/>
    <col min="4" max="4" width="2.140625" style="11" customWidth="1"/>
    <col min="5" max="5" width="20.5703125" style="11" customWidth="1"/>
    <col min="6" max="6" width="1.7109375" style="11" customWidth="1"/>
    <col min="7" max="7" width="18.85546875" style="11" customWidth="1"/>
    <col min="8" max="8" width="2" style="11" customWidth="1"/>
    <col min="9" max="9" width="13.42578125" style="12" bestFit="1" customWidth="1"/>
    <col min="10" max="16384" width="9.140625" style="3"/>
  </cols>
  <sheetData>
    <row r="3" spans="2:13" x14ac:dyDescent="0.2">
      <c r="B3" s="1"/>
      <c r="C3" s="8" t="s">
        <v>9</v>
      </c>
      <c r="D3" s="8"/>
      <c r="E3" s="9" t="s">
        <v>10</v>
      </c>
      <c r="F3" s="9"/>
      <c r="G3" s="8" t="s">
        <v>11</v>
      </c>
      <c r="H3" s="8"/>
      <c r="I3" s="8" t="s">
        <v>12</v>
      </c>
    </row>
    <row r="4" spans="2:13" x14ac:dyDescent="0.2">
      <c r="B4" s="2" t="s">
        <v>0</v>
      </c>
      <c r="C4" s="5">
        <v>15000</v>
      </c>
      <c r="D4" s="5"/>
      <c r="E4" s="5">
        <v>15000</v>
      </c>
      <c r="F4" s="5"/>
      <c r="G4" s="5">
        <f>E4-C4</f>
        <v>0</v>
      </c>
      <c r="H4" s="5"/>
      <c r="I4" s="10">
        <f>G4/E4</f>
        <v>0</v>
      </c>
      <c r="L4" s="3">
        <v>60</v>
      </c>
    </row>
    <row r="5" spans="2:13" x14ac:dyDescent="0.2">
      <c r="B5" s="3" t="s">
        <v>14</v>
      </c>
      <c r="C5" s="5">
        <v>12126</v>
      </c>
      <c r="D5" s="5"/>
      <c r="E5" s="5">
        <f>C5*1.176</f>
        <v>14260.175999999999</v>
      </c>
      <c r="F5" s="5"/>
      <c r="G5" s="5">
        <f t="shared" ref="G5:G14" si="0">E5-C5</f>
        <v>2134.1759999999995</v>
      </c>
      <c r="H5" s="5"/>
      <c r="I5" s="10">
        <f>G5/E5</f>
        <v>0.1496598639455782</v>
      </c>
      <c r="L5" s="3">
        <v>45</v>
      </c>
    </row>
    <row r="6" spans="2:13" x14ac:dyDescent="0.2">
      <c r="B6" s="3" t="s">
        <v>1</v>
      </c>
      <c r="C6" s="5">
        <v>0</v>
      </c>
      <c r="D6" s="5"/>
      <c r="E6" s="5">
        <f t="shared" ref="E6:E14" si="1">C6*1.176</f>
        <v>0</v>
      </c>
      <c r="F6" s="5"/>
      <c r="G6" s="5">
        <f t="shared" si="0"/>
        <v>0</v>
      </c>
      <c r="H6" s="5"/>
      <c r="I6" s="10"/>
      <c r="L6" s="3">
        <f>L4*L5</f>
        <v>2700</v>
      </c>
      <c r="M6" s="3">
        <f>L6*0.05</f>
        <v>135</v>
      </c>
    </row>
    <row r="7" spans="2:13" x14ac:dyDescent="0.2">
      <c r="B7" s="3" t="s">
        <v>2</v>
      </c>
      <c r="C7" s="5">
        <v>0</v>
      </c>
      <c r="D7" s="5"/>
      <c r="E7" s="5">
        <f t="shared" si="1"/>
        <v>0</v>
      </c>
      <c r="F7" s="5"/>
      <c r="G7" s="5">
        <f t="shared" si="0"/>
        <v>0</v>
      </c>
      <c r="H7" s="5"/>
      <c r="I7" s="10"/>
    </row>
    <row r="8" spans="2:13" x14ac:dyDescent="0.2">
      <c r="B8" s="3" t="s">
        <v>3</v>
      </c>
      <c r="C8" s="5">
        <v>0</v>
      </c>
      <c r="D8" s="5"/>
      <c r="E8" s="5">
        <f t="shared" si="1"/>
        <v>0</v>
      </c>
      <c r="F8" s="5"/>
      <c r="G8" s="5">
        <f t="shared" si="0"/>
        <v>0</v>
      </c>
      <c r="H8" s="5"/>
      <c r="I8" s="10"/>
    </row>
    <row r="9" spans="2:13" x14ac:dyDescent="0.2">
      <c r="B9" s="3" t="s">
        <v>4</v>
      </c>
      <c r="C9" s="5">
        <v>0</v>
      </c>
      <c r="D9" s="5"/>
      <c r="E9" s="5">
        <f t="shared" si="1"/>
        <v>0</v>
      </c>
      <c r="F9" s="5"/>
      <c r="G9" s="5">
        <f t="shared" si="0"/>
        <v>0</v>
      </c>
      <c r="H9" s="5"/>
      <c r="I9" s="10"/>
      <c r="L9" s="3">
        <v>4</v>
      </c>
    </row>
    <row r="10" spans="2:13" x14ac:dyDescent="0.2">
      <c r="B10" s="3" t="s">
        <v>15</v>
      </c>
      <c r="C10" s="5">
        <v>2700</v>
      </c>
      <c r="D10" s="5"/>
      <c r="E10" s="5">
        <v>4800</v>
      </c>
      <c r="F10" s="5"/>
      <c r="G10" s="5">
        <f t="shared" si="0"/>
        <v>2100</v>
      </c>
      <c r="H10" s="5"/>
      <c r="I10" s="10">
        <f>G10/E10</f>
        <v>0.4375</v>
      </c>
      <c r="L10" s="3">
        <v>4</v>
      </c>
    </row>
    <row r="11" spans="2:13" x14ac:dyDescent="0.2">
      <c r="B11" s="3" t="s">
        <v>5</v>
      </c>
      <c r="C11" s="5">
        <v>125</v>
      </c>
      <c r="D11" s="5"/>
      <c r="E11" s="5">
        <v>125</v>
      </c>
      <c r="F11" s="5"/>
      <c r="G11" s="5">
        <f t="shared" si="0"/>
        <v>0</v>
      </c>
      <c r="H11" s="5"/>
      <c r="I11" s="10">
        <f>G11/E11</f>
        <v>0</v>
      </c>
      <c r="L11" s="3">
        <v>85</v>
      </c>
    </row>
    <row r="12" spans="2:13" x14ac:dyDescent="0.2">
      <c r="B12" s="3" t="s">
        <v>6</v>
      </c>
      <c r="C12" s="5">
        <v>500</v>
      </c>
      <c r="D12" s="5"/>
      <c r="E12" s="5">
        <f t="shared" si="1"/>
        <v>588</v>
      </c>
      <c r="F12" s="5"/>
      <c r="G12" s="5">
        <f t="shared" si="0"/>
        <v>88</v>
      </c>
      <c r="H12" s="5"/>
      <c r="I12" s="10">
        <f>G12/E12</f>
        <v>0.14965986394557823</v>
      </c>
      <c r="L12" s="3">
        <f>L9*L10*L11</f>
        <v>1360</v>
      </c>
    </row>
    <row r="13" spans="2:13" x14ac:dyDescent="0.2">
      <c r="B13" s="3" t="s">
        <v>7</v>
      </c>
      <c r="C13" s="5">
        <v>1350</v>
      </c>
      <c r="D13" s="5"/>
      <c r="E13" s="5">
        <f t="shared" si="1"/>
        <v>1587.6</v>
      </c>
      <c r="F13" s="5"/>
      <c r="G13" s="5">
        <f t="shared" si="0"/>
        <v>237.59999999999991</v>
      </c>
      <c r="H13" s="5"/>
      <c r="I13" s="10">
        <f>G13/E13</f>
        <v>0.14965986394557818</v>
      </c>
    </row>
    <row r="14" spans="2:13" x14ac:dyDescent="0.2">
      <c r="B14" s="3" t="s">
        <v>13</v>
      </c>
      <c r="C14" s="5">
        <v>0</v>
      </c>
      <c r="D14" s="5"/>
      <c r="E14" s="5">
        <f t="shared" si="1"/>
        <v>0</v>
      </c>
      <c r="F14" s="5"/>
      <c r="G14" s="5">
        <f t="shared" si="0"/>
        <v>0</v>
      </c>
      <c r="H14" s="5"/>
      <c r="I14" s="10"/>
    </row>
    <row r="15" spans="2:13" x14ac:dyDescent="0.2">
      <c r="C15" s="5"/>
      <c r="D15" s="5"/>
      <c r="E15" s="5"/>
      <c r="F15" s="5"/>
      <c r="G15" s="5"/>
      <c r="H15" s="5"/>
      <c r="I15" s="10"/>
    </row>
    <row r="16" spans="2:13" x14ac:dyDescent="0.2">
      <c r="C16" s="5"/>
      <c r="D16" s="5"/>
      <c r="E16" s="5"/>
      <c r="F16" s="5"/>
      <c r="G16" s="5"/>
      <c r="H16" s="5"/>
      <c r="I16" s="10"/>
    </row>
    <row r="17" spans="2:9" x14ac:dyDescent="0.2">
      <c r="B17" s="4"/>
      <c r="C17" s="5"/>
      <c r="D17" s="5"/>
      <c r="E17" s="6"/>
      <c r="F17" s="6"/>
      <c r="G17" s="5"/>
      <c r="H17" s="5"/>
      <c r="I17" s="10"/>
    </row>
    <row r="18" spans="2:9" ht="13.5" thickBot="1" x14ac:dyDescent="0.25">
      <c r="B18" s="4"/>
      <c r="C18" s="5"/>
      <c r="D18" s="5"/>
      <c r="E18" s="6"/>
      <c r="F18" s="6"/>
      <c r="G18" s="5"/>
      <c r="H18" s="5"/>
      <c r="I18" s="10"/>
    </row>
    <row r="19" spans="2:9" ht="13.5" thickTop="1" x14ac:dyDescent="0.2">
      <c r="B19" s="4" t="s">
        <v>8</v>
      </c>
      <c r="C19" s="7">
        <f>SUM(C4:C18)</f>
        <v>31801</v>
      </c>
      <c r="D19" s="5"/>
      <c r="E19" s="7">
        <f>SUM(E4:E18)</f>
        <v>36360.775999999998</v>
      </c>
      <c r="F19" s="6"/>
      <c r="G19" s="7">
        <f>SUM(G4:G18)</f>
        <v>4559.7759999999998</v>
      </c>
      <c r="H19" s="6"/>
      <c r="I19" s="10">
        <f>G19/E19</f>
        <v>0.12540370425537672</v>
      </c>
    </row>
    <row r="20" spans="2:9" x14ac:dyDescent="0.2">
      <c r="E20" s="5">
        <v>-2250</v>
      </c>
    </row>
    <row r="21" spans="2:9" x14ac:dyDescent="0.2">
      <c r="E21" s="5">
        <f>E19+E20</f>
        <v>34110.775999999998</v>
      </c>
      <c r="G21" s="5">
        <f>E21-C19</f>
        <v>2309.775999999998</v>
      </c>
      <c r="I21" s="10">
        <f>G21/E21</f>
        <v>6.7713968160677387E-2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2016-10-20T19:28:02Z</dcterms:modified>
</cp:coreProperties>
</file>