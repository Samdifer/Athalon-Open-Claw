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Employee Benefit Management\"/>
    </mc:Choice>
  </mc:AlternateContent>
  <bookViews>
    <workbookView xWindow="0" yWindow="0" windowWidth="20490" windowHeight="7530"/>
  </bookViews>
  <sheets>
    <sheet name="Proposal" sheetId="2" r:id="rId1"/>
    <sheet name="2016" sheetId="1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2" l="1"/>
  <c r="I37" i="2" s="1"/>
  <c r="E29" i="2"/>
  <c r="E7" i="2"/>
  <c r="G7" i="2" s="1"/>
  <c r="I7" i="2" s="1"/>
  <c r="E8" i="2"/>
  <c r="G8" i="2" s="1"/>
  <c r="I8" i="2" s="1"/>
  <c r="E9" i="2"/>
  <c r="G9" i="2" s="1"/>
  <c r="I9" i="2" s="1"/>
  <c r="E10" i="2"/>
  <c r="G10" i="2" s="1"/>
  <c r="I10" i="2" s="1"/>
  <c r="E11" i="2"/>
  <c r="G11" i="2" s="1"/>
  <c r="I11" i="2" s="1"/>
  <c r="E12" i="2"/>
  <c r="G12" i="2" s="1"/>
  <c r="I12" i="2" s="1"/>
  <c r="E13" i="2"/>
  <c r="G13" i="2" s="1"/>
  <c r="I13" i="2" s="1"/>
  <c r="E14" i="2"/>
  <c r="G14" i="2" s="1"/>
  <c r="E15" i="2"/>
  <c r="E16" i="2"/>
  <c r="G32" i="2" l="1"/>
  <c r="I32" i="2" s="1"/>
  <c r="G31" i="2"/>
  <c r="I31" i="2" s="1"/>
  <c r="C41" i="2"/>
  <c r="E36" i="2"/>
  <c r="G36" i="2" s="1"/>
  <c r="I36" i="2" s="1"/>
  <c r="E35" i="2"/>
  <c r="G35" i="2" s="1"/>
  <c r="I35" i="2" s="1"/>
  <c r="E34" i="2"/>
  <c r="G34" i="2" s="1"/>
  <c r="I34" i="2" s="1"/>
  <c r="G33" i="2"/>
  <c r="I33" i="2" s="1"/>
  <c r="E30" i="2"/>
  <c r="G30" i="2" s="1"/>
  <c r="I30" i="2" s="1"/>
  <c r="G29" i="2"/>
  <c r="I29" i="2" s="1"/>
  <c r="E28" i="2"/>
  <c r="G28" i="2" s="1"/>
  <c r="I28" i="2" s="1"/>
  <c r="E27" i="2"/>
  <c r="G27" i="2" s="1"/>
  <c r="I27" i="2" s="1"/>
  <c r="E26" i="2"/>
  <c r="G26" i="2" s="1"/>
  <c r="I26" i="2" s="1"/>
  <c r="E25" i="2"/>
  <c r="G25" i="2" s="1"/>
  <c r="I25" i="2" s="1"/>
  <c r="E24" i="2"/>
  <c r="G24" i="2" s="1"/>
  <c r="I24" i="2" s="1"/>
  <c r="E23" i="2"/>
  <c r="G23" i="2" s="1"/>
  <c r="I23" i="2" s="1"/>
  <c r="E22" i="2"/>
  <c r="G22" i="2" s="1"/>
  <c r="I22" i="2" s="1"/>
  <c r="E21" i="2"/>
  <c r="G21" i="2" s="1"/>
  <c r="I21" i="2" s="1"/>
  <c r="E20" i="2"/>
  <c r="G20" i="2" s="1"/>
  <c r="I20" i="2" s="1"/>
  <c r="E19" i="2"/>
  <c r="G19" i="2" s="1"/>
  <c r="I19" i="2" s="1"/>
  <c r="E18" i="2"/>
  <c r="G18" i="2" s="1"/>
  <c r="I18" i="2" s="1"/>
  <c r="E17" i="2"/>
  <c r="G17" i="2" s="1"/>
  <c r="I17" i="2" s="1"/>
  <c r="G16" i="2"/>
  <c r="I16" i="2" s="1"/>
  <c r="G15" i="2"/>
  <c r="I15" i="2" s="1"/>
  <c r="I14" i="2"/>
  <c r="E6" i="2"/>
  <c r="G6" i="2" s="1"/>
  <c r="I6" i="2" s="1"/>
  <c r="G5" i="2"/>
  <c r="I5" i="2" s="1"/>
  <c r="G4" i="2"/>
  <c r="G41" i="2" l="1"/>
  <c r="E41" i="2"/>
  <c r="I4" i="2"/>
  <c r="L6" i="1"/>
  <c r="N7" i="1"/>
  <c r="L8" i="1"/>
  <c r="E6" i="1"/>
  <c r="E7" i="1"/>
  <c r="E23" i="1"/>
  <c r="G23" i="1" s="1"/>
  <c r="I23" i="1" s="1"/>
  <c r="G7" i="1"/>
  <c r="I7" i="1" s="1"/>
  <c r="G35" i="1"/>
  <c r="I35" i="1" s="1"/>
  <c r="G36" i="1"/>
  <c r="I36" i="1" s="1"/>
  <c r="G37" i="1"/>
  <c r="I37" i="1" s="1"/>
  <c r="C42" i="1"/>
  <c r="E30" i="1"/>
  <c r="G30" i="1" s="1"/>
  <c r="I30" i="1" s="1"/>
  <c r="E29" i="1"/>
  <c r="G29" i="1" s="1"/>
  <c r="I29" i="1" s="1"/>
  <c r="E28" i="1"/>
  <c r="G28" i="1" s="1"/>
  <c r="I28" i="1" s="1"/>
  <c r="E27" i="1"/>
  <c r="G27" i="1" s="1"/>
  <c r="I27" i="1" s="1"/>
  <c r="E26" i="1"/>
  <c r="G26" i="1" s="1"/>
  <c r="I26" i="1" s="1"/>
  <c r="E25" i="1"/>
  <c r="G25" i="1" s="1"/>
  <c r="I25" i="1" s="1"/>
  <c r="E24" i="1"/>
  <c r="G24" i="1" s="1"/>
  <c r="I24" i="1" s="1"/>
  <c r="E18" i="1"/>
  <c r="G18" i="1" s="1"/>
  <c r="I18" i="1" s="1"/>
  <c r="E19" i="1"/>
  <c r="G19" i="1" s="1"/>
  <c r="I19" i="1" s="1"/>
  <c r="E20" i="1"/>
  <c r="G20" i="1" s="1"/>
  <c r="I20" i="1" s="1"/>
  <c r="E21" i="1"/>
  <c r="G21" i="1" s="1"/>
  <c r="I21" i="1" s="1"/>
  <c r="E22" i="1"/>
  <c r="G22" i="1" s="1"/>
  <c r="I22" i="1" s="1"/>
  <c r="E16" i="1"/>
  <c r="G16" i="1" s="1"/>
  <c r="I16" i="1" s="1"/>
  <c r="E15" i="1"/>
  <c r="G15" i="1" s="1"/>
  <c r="I15" i="1" s="1"/>
  <c r="E14" i="1"/>
  <c r="G14" i="1" s="1"/>
  <c r="I14" i="1" s="1"/>
  <c r="E13" i="1"/>
  <c r="G13" i="1" s="1"/>
  <c r="I13" i="1" s="1"/>
  <c r="E12" i="1"/>
  <c r="G12" i="1" s="1"/>
  <c r="I12" i="1" s="1"/>
  <c r="E17" i="1"/>
  <c r="G17" i="1" s="1"/>
  <c r="I17" i="1" s="1"/>
  <c r="E10" i="1"/>
  <c r="G10" i="1" s="1"/>
  <c r="I10" i="1" s="1"/>
  <c r="G5" i="1"/>
  <c r="I5" i="1" s="1"/>
  <c r="E8" i="1"/>
  <c r="G8" i="1" s="1"/>
  <c r="I8" i="1" s="1"/>
  <c r="E9" i="1"/>
  <c r="G9" i="1" s="1"/>
  <c r="I9" i="1" s="1"/>
  <c r="E11" i="1"/>
  <c r="G11" i="1" s="1"/>
  <c r="I11" i="1" s="1"/>
  <c r="E43" i="2" l="1"/>
  <c r="G43" i="2" s="1"/>
  <c r="I43" i="2" s="1"/>
  <c r="I41" i="2"/>
  <c r="E32" i="1"/>
  <c r="E33" i="1"/>
  <c r="E34" i="1"/>
  <c r="E42" i="1" l="1"/>
  <c r="E44" i="1" l="1"/>
  <c r="G44" i="1" s="1"/>
  <c r="I44" i="1" s="1"/>
  <c r="G6" i="1"/>
  <c r="I6" i="1" s="1"/>
  <c r="G31" i="1"/>
  <c r="I31" i="1" s="1"/>
  <c r="G32" i="1"/>
  <c r="I32" i="1" s="1"/>
  <c r="G33" i="1"/>
  <c r="I33" i="1" s="1"/>
  <c r="G34" i="1"/>
  <c r="I34" i="1" s="1"/>
  <c r="G4" i="1"/>
  <c r="I4" i="1" s="1"/>
  <c r="G42" i="1" l="1"/>
  <c r="I42" i="1" s="1"/>
</calcChain>
</file>

<file path=xl/sharedStrings.xml><?xml version="1.0" encoding="utf-8"?>
<sst xmlns="http://schemas.openxmlformats.org/spreadsheetml/2006/main" count="89" uniqueCount="63">
  <si>
    <t>Sensor Systems GPS Antenna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</si>
  <si>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</si>
  <si>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</si>
  <si>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</si>
  <si>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</si>
  <si>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</si>
  <si>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</si>
  <si>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</si>
  <si>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</si>
  <si>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New TDR-94 Transponders 622-9352-501 #1</t>
  </si>
  <si>
    <t>New TDR-94 Transponders 622-9352-501 #2</t>
  </si>
  <si>
    <t>Trade in credit 622-9352-005 Transponder #1</t>
  </si>
  <si>
    <t>Trade in credit 622-9352-005 Transponder #2</t>
  </si>
  <si>
    <t>Upgrage RTU-4220 822-730-461 (SB501)</t>
  </si>
  <si>
    <t>Upgrade GPS-4000A 822-1377-001 (SB504)</t>
  </si>
  <si>
    <t>Supplemental Type Certificate SA11133SC</t>
  </si>
  <si>
    <t>Supplemental Type Certificate SA10965SC</t>
  </si>
  <si>
    <t>New OCM-3100 822-1484-228 #1</t>
  </si>
  <si>
    <t>New OCM-3100 822-1484-228 #2</t>
  </si>
  <si>
    <t>New IOC-4110 822-2065-101 Concentrator #1</t>
  </si>
  <si>
    <t>New IOC-4110 822-2065-101 Concentrator #2</t>
  </si>
  <si>
    <t>New IOT-4110 810-0053-623 I/O Table #1</t>
  </si>
  <si>
    <t>New IOT-4110 810-0053-623 I/O Table #2</t>
  </si>
  <si>
    <t>New MDT-3101 810-0042-015 MTC Table</t>
  </si>
  <si>
    <t>Upgrade AFD-3010 822-1084-351 (SB557, SB560, SB561) #1</t>
  </si>
  <si>
    <t>Upgrade AFD-3010 822-1084-351 (SB557, SB560, SB561) #2</t>
  </si>
  <si>
    <t>Upgrade AFD-3010E 822-1753-351 (SB29) #3</t>
  </si>
  <si>
    <t>Upgrade AFD-3010E 822-1753-351 (SB557, SB560, SB561) #3</t>
  </si>
  <si>
    <t>Upgrade FMC-3000 822-0883-48 (SB526, SB534, SB536, SB543)</t>
  </si>
  <si>
    <t>New SVC-3000 866-0232-010 Computer</t>
  </si>
  <si>
    <t>New SVC-3000M 866-0232-055 Mount</t>
  </si>
  <si>
    <t>New SVCM-3000 822-3095-101/109 Module</t>
  </si>
  <si>
    <t>New SVC-3000K 866-0232-050 Install Kit</t>
  </si>
  <si>
    <t>New VIU-3000 866-0232-060 Interface</t>
  </si>
  <si>
    <t>New VIU-3000K 866-0232-070 Install Kit</t>
  </si>
  <si>
    <t>New Database Subscription</t>
  </si>
  <si>
    <t>New DBU-5010E 822-3000-201</t>
  </si>
  <si>
    <t>Trade in credit 822-2215-201 DBU-5000</t>
  </si>
  <si>
    <t>Labor</t>
  </si>
  <si>
    <t>interior</t>
  </si>
  <si>
    <t>SVC Mount</t>
  </si>
  <si>
    <t>SVC Comp</t>
  </si>
  <si>
    <t>DBU</t>
  </si>
  <si>
    <t>OCM/IOC</t>
  </si>
  <si>
    <t>GPS</t>
  </si>
  <si>
    <t>TDR</t>
  </si>
  <si>
    <t>Antenna</t>
  </si>
  <si>
    <t>Installation 130 Hrs</t>
  </si>
  <si>
    <t>AFD</t>
  </si>
  <si>
    <t>Update FSA-5000 File Server Application</t>
  </si>
  <si>
    <t>Exchange AFD-3010 822-1084-351 (SB557, SB560, SB561) #1</t>
  </si>
  <si>
    <t>Exchange  AFD-3010 822-1084-351 (SB557, SB560, SB561) #2</t>
  </si>
  <si>
    <t>Exchange  AFD-3010E 822-1753-351 (SB557, SB560, SB561) #3</t>
  </si>
  <si>
    <t>Exchange FMC-3000 822-0883-48 (SB526, SB534, SB536, SB543)</t>
  </si>
  <si>
    <t>Update ACSS TWAS Table Mode 5 for LPV Monitoring</t>
  </si>
  <si>
    <t>Exchange  GPS-4000A 822-1377-001</t>
  </si>
  <si>
    <t>Exchange  CDU-3000 for Flt ID</t>
  </si>
  <si>
    <t>Exchange RTU-4220 822-730-461 Flt ID</t>
  </si>
  <si>
    <t>New SVC Database Subscription</t>
  </si>
  <si>
    <t xml:space="preserve">
Comant CI 429-200 GPS Antenna</t>
  </si>
  <si>
    <t>20017-02-01</t>
  </si>
  <si>
    <t>Installation 200 Hrs</t>
  </si>
  <si>
    <t>Rockwell Collins Package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</si>
</sst>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164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0" fontId="1" fillId="0" borderId="0" xfId="0" applyFont="1" applyFill="1" applyAlignment="1">
      <alignment horizontal="right" indent="1"/>
    </xf>
    <xf numFmtId="44" fontId="0" fillId="0" borderId="0" xfId="0" applyNumberFormat="1" applyFont="1" applyFill="1" applyAlignment="1">
      <alignment horizontal="left" indent="1"/>
    </xf>
    <xf numFmtId="44" fontId="0" fillId="0" borderId="1" xfId="0" applyNumberFormat="1" applyFont="1" applyFill="1" applyBorder="1" applyAlignment="1">
      <alignment horizontal="left" indent="1"/>
    </xf>
    <xf numFmtId="0" fontId="0" fillId="0" borderId="0" xfId="0" applyFont="1" applyFill="1" applyAlignment="1">
      <alignment horizontal="left" inden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4" workbookViewId="0">
      <selection activeCell="M42" sqref="M42"/>
    </sheetView>
  </sheetViews>
  <sheetFormatPr defaultRowHeight="15" x14ac:dyDescent="0.25"/>
  <cols>
    <col min="1" max="1" width="2.42578125" style="4" customWidth="1"/>
    <col min="2" max="2" width="54.5703125" style="4" customWidth="1"/>
    <col min="3" max="3" width="16.7109375" style="15" customWidth="1"/>
    <col min="4" max="4" width="1" style="11" customWidth="1"/>
    <col min="5" max="5" width="16.7109375" style="11" customWidth="1"/>
    <col min="6" max="6" width="0.7109375" style="11" customWidth="1"/>
    <col min="7" max="7" width="16.7109375" style="11" customWidth="1"/>
    <col min="8" max="8" width="0.85546875" style="11" customWidth="1"/>
    <col min="9" max="9" width="11" style="11" customWidth="1"/>
    <col min="10" max="16384" width="9.140625" style="4"/>
  </cols>
  <sheetData>
    <row r="1" spans="2:9" x14ac:dyDescent="0.25">
      <c r="B1" s="4" t="s">
        <v>60</v>
      </c>
    </row>
    <row r="3" spans="2:9" x14ac:dyDescent="0.25">
      <c r="B3" s="1"/>
      <c r="C3" s="12" t="s">
        <v>5</v>
      </c>
      <c r="D3" s="2"/>
      <c r="E3" s="3" t="s">
        <v>6</v>
      </c>
      <c r="F3" s="3"/>
      <c r="G3" s="2" t="s">
        <v>7</v>
      </c>
      <c r="H3" s="2"/>
      <c r="I3" s="2" t="s">
        <v>8</v>
      </c>
    </row>
    <row r="4" spans="2:9" x14ac:dyDescent="0.25">
      <c r="B4" s="5" t="s">
        <v>15</v>
      </c>
      <c r="C4" s="13">
        <v>5000</v>
      </c>
      <c r="D4" s="6"/>
      <c r="E4" s="6">
        <v>5000</v>
      </c>
      <c r="F4" s="6"/>
      <c r="G4" s="6">
        <f>E4-C4</f>
        <v>0</v>
      </c>
      <c r="H4" s="6"/>
      <c r="I4" s="7">
        <f>G4/E4</f>
        <v>0</v>
      </c>
    </row>
    <row r="5" spans="2:9" x14ac:dyDescent="0.25">
      <c r="B5" s="5" t="s">
        <v>16</v>
      </c>
      <c r="C5" s="13">
        <v>0</v>
      </c>
      <c r="D5" s="6"/>
      <c r="E5" s="6">
        <v>0</v>
      </c>
      <c r="F5" s="6"/>
      <c r="G5" s="6">
        <f>E5-C5</f>
        <v>0</v>
      </c>
      <c r="H5" s="6"/>
      <c r="I5" s="7" t="e">
        <f>G5/E5</f>
        <v>#DIV/0!</v>
      </c>
    </row>
    <row r="6" spans="2:9" x14ac:dyDescent="0.25">
      <c r="B6" s="4" t="s">
        <v>9</v>
      </c>
      <c r="C6" s="13">
        <v>16140</v>
      </c>
      <c r="D6" s="6"/>
      <c r="E6" s="6">
        <f>C6*1.176</f>
        <v>18980.64</v>
      </c>
      <c r="F6" s="6"/>
      <c r="G6" s="6">
        <f t="shared" ref="G6:G36" si="0">E6-C6</f>
        <v>2840.6399999999994</v>
      </c>
      <c r="H6" s="6"/>
      <c r="I6" s="7">
        <f>G6/E6</f>
        <v>0.1496598639455782</v>
      </c>
    </row>
    <row r="7" spans="2:9" x14ac:dyDescent="0.25">
      <c r="B7" s="4" t="s">
        <v>10</v>
      </c>
      <c r="C7" s="13">
        <v>16140</v>
      </c>
      <c r="D7" s="6"/>
      <c r="E7" s="6">
        <f t="shared" ref="E7:E16" si="1">C7*1.176</f>
        <v>18980.64</v>
      </c>
      <c r="F7" s="6"/>
      <c r="G7" s="6">
        <f t="shared" si="0"/>
        <v>2840.6399999999994</v>
      </c>
      <c r="H7" s="6"/>
      <c r="I7" s="7">
        <f t="shared" ref="I7:I13" si="2">G7/E7</f>
        <v>0.1496598639455782</v>
      </c>
    </row>
    <row r="8" spans="2:9" x14ac:dyDescent="0.25">
      <c r="B8" s="4" t="s">
        <v>57</v>
      </c>
      <c r="C8" s="13">
        <v>7149</v>
      </c>
      <c r="D8" s="6"/>
      <c r="E8" s="6">
        <f t="shared" si="1"/>
        <v>8407.2240000000002</v>
      </c>
      <c r="F8" s="6"/>
      <c r="G8" s="6">
        <f t="shared" si="0"/>
        <v>1258.2240000000002</v>
      </c>
      <c r="H8" s="6"/>
      <c r="I8" s="7">
        <f t="shared" si="2"/>
        <v>0.14965986394557826</v>
      </c>
    </row>
    <row r="9" spans="2:9" x14ac:dyDescent="0.25">
      <c r="B9" s="4" t="s">
        <v>56</v>
      </c>
      <c r="C9" s="13">
        <v>6941</v>
      </c>
      <c r="D9" s="6"/>
      <c r="E9" s="6">
        <f t="shared" si="1"/>
        <v>8162.616</v>
      </c>
      <c r="F9" s="6"/>
      <c r="G9" s="6">
        <f t="shared" si="0"/>
        <v>1221.616</v>
      </c>
      <c r="H9" s="6"/>
      <c r="I9" s="7">
        <f t="shared" si="2"/>
        <v>0.14965986394557823</v>
      </c>
    </row>
    <row r="10" spans="2:9" x14ac:dyDescent="0.25">
      <c r="B10" s="4" t="s">
        <v>55</v>
      </c>
      <c r="C10" s="13">
        <v>15676</v>
      </c>
      <c r="D10" s="6"/>
      <c r="E10" s="6">
        <f t="shared" si="1"/>
        <v>18434.975999999999</v>
      </c>
      <c r="F10" s="6"/>
      <c r="G10" s="6">
        <f t="shared" si="0"/>
        <v>2758.9759999999987</v>
      </c>
      <c r="H10" s="6"/>
      <c r="I10" s="7">
        <f t="shared" si="2"/>
        <v>0.14965986394557818</v>
      </c>
    </row>
    <row r="11" spans="2:9" ht="16.5" customHeight="1" x14ac:dyDescent="0.25">
      <c r="B11" s="16" t="s">
        <v>59</v>
      </c>
      <c r="C11" s="13">
        <v>1000</v>
      </c>
      <c r="D11" s="6"/>
      <c r="E11" s="6">
        <f t="shared" si="1"/>
        <v>1176</v>
      </c>
      <c r="F11" s="6"/>
      <c r="G11" s="6">
        <f t="shared" si="0"/>
        <v>176</v>
      </c>
      <c r="H11" s="6"/>
      <c r="I11" s="7">
        <f t="shared" si="2"/>
        <v>0.14965986394557823</v>
      </c>
    </row>
    <row r="12" spans="2:9" x14ac:dyDescent="0.25">
      <c r="B12" s="4" t="s">
        <v>17</v>
      </c>
      <c r="C12" s="13">
        <v>7830</v>
      </c>
      <c r="D12" s="6"/>
      <c r="E12" s="6">
        <f t="shared" si="1"/>
        <v>9208.08</v>
      </c>
      <c r="F12" s="6"/>
      <c r="G12" s="6">
        <f t="shared" si="0"/>
        <v>1378.08</v>
      </c>
      <c r="H12" s="6"/>
      <c r="I12" s="7">
        <f t="shared" si="2"/>
        <v>0.14965986394557823</v>
      </c>
    </row>
    <row r="13" spans="2:9" x14ac:dyDescent="0.25">
      <c r="B13" s="4" t="s">
        <v>18</v>
      </c>
      <c r="C13" s="13">
        <v>7830</v>
      </c>
      <c r="D13" s="6"/>
      <c r="E13" s="6">
        <f t="shared" si="1"/>
        <v>9208.08</v>
      </c>
      <c r="F13" s="6"/>
      <c r="G13" s="6">
        <f t="shared" si="0"/>
        <v>1378.08</v>
      </c>
      <c r="H13" s="6"/>
      <c r="I13" s="7">
        <f t="shared" si="2"/>
        <v>0.14965986394557823</v>
      </c>
    </row>
    <row r="14" spans="2:9" x14ac:dyDescent="0.25">
      <c r="B14" s="4" t="s">
        <v>19</v>
      </c>
      <c r="C14" s="13">
        <v>2860</v>
      </c>
      <c r="D14" s="6"/>
      <c r="E14" s="6">
        <f t="shared" si="1"/>
        <v>3363.3599999999997</v>
      </c>
      <c r="F14" s="6"/>
      <c r="G14" s="6">
        <f t="shared" si="0"/>
        <v>503.35999999999967</v>
      </c>
      <c r="H14" s="6"/>
      <c r="I14" s="7">
        <f t="shared" ref="I14:I31" si="3">G14/E14</f>
        <v>0.14965986394557815</v>
      </c>
    </row>
    <row r="15" spans="2:9" x14ac:dyDescent="0.25">
      <c r="B15" s="4" t="s">
        <v>21</v>
      </c>
      <c r="C15" s="13">
        <v>0</v>
      </c>
      <c r="D15" s="6"/>
      <c r="E15" s="6">
        <f t="shared" si="1"/>
        <v>0</v>
      </c>
      <c r="F15" s="6"/>
      <c r="G15" s="6">
        <f t="shared" si="0"/>
        <v>0</v>
      </c>
      <c r="H15" s="6"/>
      <c r="I15" s="7" t="e">
        <f t="shared" si="3"/>
        <v>#DIV/0!</v>
      </c>
    </row>
    <row r="16" spans="2:9" x14ac:dyDescent="0.25">
      <c r="B16" s="4" t="s">
        <v>20</v>
      </c>
      <c r="C16" s="13">
        <v>2860</v>
      </c>
      <c r="D16" s="6"/>
      <c r="E16" s="6">
        <f t="shared" si="1"/>
        <v>3363.3599999999997</v>
      </c>
      <c r="F16" s="6"/>
      <c r="G16" s="6">
        <f t="shared" si="0"/>
        <v>503.35999999999967</v>
      </c>
      <c r="H16" s="6"/>
      <c r="I16" s="7">
        <f t="shared" si="3"/>
        <v>0.14965986394557815</v>
      </c>
    </row>
    <row r="17" spans="2:9" x14ac:dyDescent="0.25">
      <c r="B17" s="4" t="s">
        <v>22</v>
      </c>
      <c r="C17" s="13">
        <v>0</v>
      </c>
      <c r="D17" s="6"/>
      <c r="E17" s="6">
        <f t="shared" ref="E17:E30" si="4">C17*1.176</f>
        <v>0</v>
      </c>
      <c r="F17" s="6"/>
      <c r="G17" s="6">
        <f t="shared" si="0"/>
        <v>0</v>
      </c>
      <c r="H17" s="6"/>
      <c r="I17" s="7" t="e">
        <f t="shared" si="3"/>
        <v>#DIV/0!</v>
      </c>
    </row>
    <row r="18" spans="2:9" x14ac:dyDescent="0.25">
      <c r="B18" s="4" t="s">
        <v>23</v>
      </c>
      <c r="C18" s="13">
        <v>0</v>
      </c>
      <c r="D18" s="6"/>
      <c r="E18" s="6">
        <f t="shared" si="4"/>
        <v>0</v>
      </c>
      <c r="F18" s="6"/>
      <c r="G18" s="6">
        <f t="shared" si="0"/>
        <v>0</v>
      </c>
      <c r="H18" s="6"/>
      <c r="I18" s="7" t="e">
        <f t="shared" si="3"/>
        <v>#DIV/0!</v>
      </c>
    </row>
    <row r="19" spans="2:9" x14ac:dyDescent="0.25">
      <c r="B19" s="4" t="s">
        <v>50</v>
      </c>
      <c r="C19" s="13">
        <v>11898</v>
      </c>
      <c r="D19" s="6"/>
      <c r="E19" s="6">
        <f t="shared" si="4"/>
        <v>13992.047999999999</v>
      </c>
      <c r="F19" s="6"/>
      <c r="G19" s="6">
        <f t="shared" si="0"/>
        <v>2094.0479999999989</v>
      </c>
      <c r="H19" s="6"/>
      <c r="I19" s="7">
        <f t="shared" si="3"/>
        <v>0.14965986394557818</v>
      </c>
    </row>
    <row r="20" spans="2:9" x14ac:dyDescent="0.25">
      <c r="B20" s="4" t="s">
        <v>51</v>
      </c>
      <c r="C20" s="13">
        <v>11898</v>
      </c>
      <c r="D20" s="6"/>
      <c r="E20" s="6">
        <f t="shared" si="4"/>
        <v>13992.047999999999</v>
      </c>
      <c r="F20" s="6"/>
      <c r="G20" s="6">
        <f t="shared" si="0"/>
        <v>2094.0479999999989</v>
      </c>
      <c r="H20" s="6"/>
      <c r="I20" s="7">
        <f t="shared" si="3"/>
        <v>0.14965986394557818</v>
      </c>
    </row>
    <row r="21" spans="2:9" x14ac:dyDescent="0.25">
      <c r="B21" s="4" t="s">
        <v>52</v>
      </c>
      <c r="C21" s="13">
        <v>3180</v>
      </c>
      <c r="D21" s="6"/>
      <c r="E21" s="6">
        <f t="shared" si="4"/>
        <v>3739.68</v>
      </c>
      <c r="F21" s="6"/>
      <c r="G21" s="6">
        <f t="shared" si="0"/>
        <v>559.67999999999984</v>
      </c>
      <c r="H21" s="6"/>
      <c r="I21" s="7">
        <f t="shared" si="3"/>
        <v>0.1496598639455782</v>
      </c>
    </row>
    <row r="22" spans="2:9" x14ac:dyDescent="0.25">
      <c r="B22" s="4" t="s">
        <v>53</v>
      </c>
      <c r="C22" s="13">
        <v>8736</v>
      </c>
      <c r="D22" s="6"/>
      <c r="E22" s="6">
        <f t="shared" si="4"/>
        <v>10273.536</v>
      </c>
      <c r="F22" s="6"/>
      <c r="G22" s="6">
        <f t="shared" si="0"/>
        <v>1537.5360000000001</v>
      </c>
      <c r="H22" s="6"/>
      <c r="I22" s="7">
        <f t="shared" si="3"/>
        <v>0.14965986394557823</v>
      </c>
    </row>
    <row r="23" spans="2:9" x14ac:dyDescent="0.25">
      <c r="B23" s="4" t="s">
        <v>29</v>
      </c>
      <c r="C23" s="13">
        <v>30140</v>
      </c>
      <c r="D23" s="6"/>
      <c r="E23" s="6">
        <f t="shared" si="4"/>
        <v>35444.639999999999</v>
      </c>
      <c r="F23" s="6"/>
      <c r="G23" s="6">
        <f t="shared" si="0"/>
        <v>5304.6399999999994</v>
      </c>
      <c r="H23" s="6"/>
      <c r="I23" s="7">
        <f t="shared" si="3"/>
        <v>0.14965986394557823</v>
      </c>
    </row>
    <row r="24" spans="2:9" x14ac:dyDescent="0.25">
      <c r="B24" s="4" t="s">
        <v>30</v>
      </c>
      <c r="C24" s="13">
        <v>2041</v>
      </c>
      <c r="D24" s="6"/>
      <c r="E24" s="6">
        <f t="shared" si="4"/>
        <v>2400.2159999999999</v>
      </c>
      <c r="F24" s="6"/>
      <c r="G24" s="6">
        <f t="shared" si="0"/>
        <v>359.21599999999989</v>
      </c>
      <c r="H24" s="6"/>
      <c r="I24" s="7">
        <f t="shared" si="3"/>
        <v>0.1496598639455782</v>
      </c>
    </row>
    <row r="25" spans="2:9" x14ac:dyDescent="0.25">
      <c r="B25" s="4" t="s">
        <v>31</v>
      </c>
      <c r="C25" s="13">
        <v>459</v>
      </c>
      <c r="D25" s="6"/>
      <c r="E25" s="6">
        <f t="shared" si="4"/>
        <v>539.78399999999999</v>
      </c>
      <c r="F25" s="6"/>
      <c r="G25" s="6">
        <f t="shared" si="0"/>
        <v>80.783999999999992</v>
      </c>
      <c r="H25" s="6"/>
      <c r="I25" s="7">
        <f t="shared" si="3"/>
        <v>0.14965986394557823</v>
      </c>
    </row>
    <row r="26" spans="2:9" x14ac:dyDescent="0.25">
      <c r="B26" s="4" t="s">
        <v>32</v>
      </c>
      <c r="C26" s="13">
        <v>3060</v>
      </c>
      <c r="D26" s="6"/>
      <c r="E26" s="6">
        <f t="shared" si="4"/>
        <v>3598.56</v>
      </c>
      <c r="F26" s="6"/>
      <c r="G26" s="6">
        <f t="shared" si="0"/>
        <v>538.55999999999995</v>
      </c>
      <c r="H26" s="6"/>
      <c r="I26" s="7">
        <f t="shared" si="3"/>
        <v>0.14965986394557823</v>
      </c>
    </row>
    <row r="27" spans="2:9" x14ac:dyDescent="0.25">
      <c r="B27" s="4" t="s">
        <v>33</v>
      </c>
      <c r="C27" s="13">
        <v>4080</v>
      </c>
      <c r="D27" s="6"/>
      <c r="E27" s="6">
        <f t="shared" si="4"/>
        <v>4798.08</v>
      </c>
      <c r="F27" s="6"/>
      <c r="G27" s="6">
        <f t="shared" si="0"/>
        <v>718.07999999999993</v>
      </c>
      <c r="H27" s="6"/>
      <c r="I27" s="7">
        <f t="shared" si="3"/>
        <v>0.14965986394557823</v>
      </c>
    </row>
    <row r="28" spans="2:9" x14ac:dyDescent="0.25">
      <c r="B28" s="4" t="s">
        <v>34</v>
      </c>
      <c r="C28" s="13">
        <v>1062</v>
      </c>
      <c r="D28" s="6"/>
      <c r="E28" s="6">
        <f t="shared" si="4"/>
        <v>1248.912</v>
      </c>
      <c r="F28" s="6"/>
      <c r="G28" s="6">
        <f t="shared" si="0"/>
        <v>186.91200000000003</v>
      </c>
      <c r="H28" s="6"/>
      <c r="I28" s="7">
        <f t="shared" si="3"/>
        <v>0.14965986394557826</v>
      </c>
    </row>
    <row r="29" spans="2:9" x14ac:dyDescent="0.25">
      <c r="B29" s="4" t="s">
        <v>58</v>
      </c>
      <c r="C29" s="13">
        <v>2080</v>
      </c>
      <c r="D29" s="6"/>
      <c r="E29" s="6">
        <f t="shared" si="4"/>
        <v>2446.08</v>
      </c>
      <c r="F29" s="6"/>
      <c r="G29" s="6">
        <f t="shared" si="0"/>
        <v>366.07999999999993</v>
      </c>
      <c r="H29" s="6"/>
      <c r="I29" s="7">
        <f t="shared" si="3"/>
        <v>0.1496598639455782</v>
      </c>
    </row>
    <row r="30" spans="2:9" x14ac:dyDescent="0.25">
      <c r="B30" s="4" t="s">
        <v>36</v>
      </c>
      <c r="C30" s="13">
        <v>10045</v>
      </c>
      <c r="D30" s="6"/>
      <c r="E30" s="6">
        <f t="shared" si="4"/>
        <v>11812.92</v>
      </c>
      <c r="F30" s="6"/>
      <c r="G30" s="6">
        <f t="shared" si="0"/>
        <v>1767.92</v>
      </c>
      <c r="H30" s="6"/>
      <c r="I30" s="7">
        <f t="shared" si="3"/>
        <v>0.14965986394557823</v>
      </c>
    </row>
    <row r="31" spans="2:9" x14ac:dyDescent="0.25">
      <c r="B31" s="4" t="s">
        <v>49</v>
      </c>
      <c r="C31" s="13">
        <v>0</v>
      </c>
      <c r="D31" s="6"/>
      <c r="E31" s="6">
        <v>850</v>
      </c>
      <c r="F31" s="6"/>
      <c r="G31" s="6">
        <f t="shared" si="0"/>
        <v>850</v>
      </c>
      <c r="H31" s="6"/>
      <c r="I31" s="7">
        <f t="shared" si="3"/>
        <v>1</v>
      </c>
    </row>
    <row r="32" spans="2:9" x14ac:dyDescent="0.25">
      <c r="B32" s="4" t="s">
        <v>54</v>
      </c>
      <c r="C32" s="13">
        <v>0</v>
      </c>
      <c r="D32" s="6"/>
      <c r="E32" s="6">
        <v>850</v>
      </c>
      <c r="F32" s="6"/>
      <c r="G32" s="6">
        <f t="shared" ref="G32" si="5">E32-C32</f>
        <v>850</v>
      </c>
      <c r="H32" s="6"/>
      <c r="I32" s="7">
        <f t="shared" ref="I32" si="6">G32/E32</f>
        <v>1</v>
      </c>
    </row>
    <row r="33" spans="2:9" x14ac:dyDescent="0.25">
      <c r="B33" s="4" t="s">
        <v>61</v>
      </c>
      <c r="C33" s="4">
        <v>9000</v>
      </c>
      <c r="D33" s="6"/>
      <c r="E33" s="4">
        <v>17000</v>
      </c>
      <c r="F33" s="6"/>
      <c r="G33" s="6">
        <f t="shared" si="0"/>
        <v>8000</v>
      </c>
      <c r="H33" s="6"/>
      <c r="I33" s="7">
        <f>G33/E33</f>
        <v>0.47058823529411764</v>
      </c>
    </row>
    <row r="34" spans="2:9" x14ac:dyDescent="0.25">
      <c r="B34" s="4" t="s">
        <v>1</v>
      </c>
      <c r="C34" s="4">
        <v>1150</v>
      </c>
      <c r="D34" s="6"/>
      <c r="E34" s="6">
        <f t="shared" ref="E34:E36" si="7">C34*1.176</f>
        <v>1352.3999999999999</v>
      </c>
      <c r="F34" s="6"/>
      <c r="G34" s="6">
        <f t="shared" si="0"/>
        <v>202.39999999999986</v>
      </c>
      <c r="H34" s="6"/>
      <c r="I34" s="7">
        <f>G34/E34</f>
        <v>0.14965986394557815</v>
      </c>
    </row>
    <row r="35" spans="2:9" x14ac:dyDescent="0.25">
      <c r="B35" s="4" t="s">
        <v>2</v>
      </c>
      <c r="C35" s="4">
        <v>850</v>
      </c>
      <c r="D35" s="6"/>
      <c r="E35" s="6">
        <f t="shared" si="7"/>
        <v>999.59999999999991</v>
      </c>
      <c r="F35" s="6"/>
      <c r="G35" s="6">
        <f t="shared" si="0"/>
        <v>149.59999999999991</v>
      </c>
      <c r="H35" s="6"/>
      <c r="I35" s="7">
        <f>G35/E35</f>
        <v>0.14965986394557815</v>
      </c>
    </row>
    <row r="36" spans="2:9" x14ac:dyDescent="0.25">
      <c r="B36" s="4" t="s">
        <v>3</v>
      </c>
      <c r="C36" s="4">
        <v>3400</v>
      </c>
      <c r="D36" s="6"/>
      <c r="E36" s="6">
        <f t="shared" si="7"/>
        <v>3998.3999999999996</v>
      </c>
      <c r="F36" s="6"/>
      <c r="G36" s="6">
        <f t="shared" si="0"/>
        <v>598.39999999999964</v>
      </c>
      <c r="H36" s="6"/>
      <c r="I36" s="7">
        <f>G36/E36</f>
        <v>0.14965986394557815</v>
      </c>
    </row>
    <row r="37" spans="2:9" x14ac:dyDescent="0.25">
      <c r="B37" s="4" t="s">
        <v>62</v>
      </c>
      <c r="C37" s="13">
        <v>-46600</v>
      </c>
      <c r="D37" s="6"/>
      <c r="E37" s="13">
        <v>-46600</v>
      </c>
      <c r="F37" s="6"/>
      <c r="G37" s="6">
        <f t="shared" ref="G37" si="8">E37-C37</f>
        <v>0</v>
      </c>
      <c r="H37" s="6"/>
      <c r="I37" s="7">
        <f t="shared" ref="I37" si="9">G37/E37</f>
        <v>0</v>
      </c>
    </row>
    <row r="38" spans="2:9" x14ac:dyDescent="0.25">
      <c r="C38" s="13"/>
      <c r="D38" s="6"/>
      <c r="E38" s="6"/>
      <c r="F38" s="6"/>
      <c r="G38" s="6"/>
      <c r="H38" s="6"/>
      <c r="I38" s="7"/>
    </row>
    <row r="39" spans="2:9" x14ac:dyDescent="0.25">
      <c r="C39" s="13"/>
      <c r="D39" s="6"/>
      <c r="E39" s="6"/>
      <c r="F39" s="6"/>
      <c r="G39" s="6"/>
      <c r="H39" s="6"/>
      <c r="I39" s="7"/>
    </row>
    <row r="40" spans="2:9" ht="15.75" thickBot="1" x14ac:dyDescent="0.3">
      <c r="B40" s="8"/>
      <c r="C40" s="13"/>
      <c r="D40" s="6"/>
      <c r="E40" s="9"/>
      <c r="F40" s="9"/>
      <c r="G40" s="6"/>
      <c r="H40" s="6"/>
      <c r="I40" s="7"/>
    </row>
    <row r="41" spans="2:9" ht="15.75" thickTop="1" x14ac:dyDescent="0.25">
      <c r="B41" s="8" t="s">
        <v>4</v>
      </c>
      <c r="C41" s="14">
        <f>SUM(C4:C40)</f>
        <v>145905</v>
      </c>
      <c r="D41" s="6"/>
      <c r="E41" s="10">
        <f>SUM(E4:E40)</f>
        <v>187021.88</v>
      </c>
      <c r="F41" s="9"/>
      <c r="G41" s="10">
        <f>SUM(G4:G40)</f>
        <v>41116.879999999997</v>
      </c>
      <c r="H41" s="9"/>
      <c r="I41" s="7">
        <f>G41/E41</f>
        <v>0.21985063993581924</v>
      </c>
    </row>
    <row r="42" spans="2:9" x14ac:dyDescent="0.25">
      <c r="E42" s="6">
        <v>-3500</v>
      </c>
      <c r="I42" s="7"/>
    </row>
    <row r="43" spans="2:9" x14ac:dyDescent="0.25">
      <c r="E43" s="6">
        <f>E41+E42</f>
        <v>183521.88</v>
      </c>
      <c r="G43" s="6">
        <f>E43-C41</f>
        <v>37616.880000000005</v>
      </c>
      <c r="I43" s="7">
        <f>G43/E43</f>
        <v>0.2049721809737346</v>
      </c>
    </row>
    <row r="44" spans="2:9" x14ac:dyDescent="0.25">
      <c r="E44" s="6"/>
      <c r="I44" s="7"/>
    </row>
    <row r="45" spans="2:9" x14ac:dyDescent="0.25">
      <c r="E45" s="6"/>
      <c r="I45" s="6"/>
    </row>
    <row r="46" spans="2:9" x14ac:dyDescent="0.25">
      <c r="E46" s="6"/>
    </row>
    <row r="47" spans="2:9" x14ac:dyDescent="0.25">
      <c r="E47" s="6"/>
    </row>
    <row r="49" spans="1:5" x14ac:dyDescent="0.25">
      <c r="E49" s="6"/>
    </row>
    <row r="50" spans="1:5" s="11" customFormat="1" x14ac:dyDescent="0.25">
      <c r="A50" s="4"/>
      <c r="B50" s="4"/>
      <c r="C50" s="15"/>
      <c r="E50" s="6"/>
    </row>
    <row r="51" spans="1:5" s="11" customFormat="1" x14ac:dyDescent="0.25">
      <c r="A51" s="4"/>
      <c r="B51" s="4"/>
      <c r="C51" s="15"/>
    </row>
    <row r="52" spans="1:5" s="11" customFormat="1" x14ac:dyDescent="0.25">
      <c r="A52" s="4"/>
      <c r="B52" s="4"/>
      <c r="C52" s="15"/>
    </row>
    <row r="53" spans="1:5" s="11" customFormat="1" x14ac:dyDescent="0.25">
      <c r="A53" s="4"/>
      <c r="B53" s="4"/>
      <c r="C53" s="15"/>
    </row>
    <row r="54" spans="1:5" s="11" customFormat="1" x14ac:dyDescent="0.25">
      <c r="A54" s="4"/>
      <c r="B54" s="4"/>
      <c r="C54" s="15"/>
    </row>
    <row r="55" spans="1:5" s="11" customFormat="1" x14ac:dyDescent="0.25">
      <c r="A55" s="4"/>
      <c r="B55" s="4"/>
      <c r="C55" s="15"/>
    </row>
    <row r="56" spans="1:5" s="11" customFormat="1" x14ac:dyDescent="0.25">
      <c r="A56" s="4"/>
      <c r="B56" s="4"/>
      <c r="C56" s="15"/>
    </row>
    <row r="57" spans="1:5" s="11" customFormat="1" x14ac:dyDescent="0.25">
      <c r="A57" s="4"/>
      <c r="B57" s="4"/>
      <c r="C57" s="15"/>
    </row>
    <row r="58" spans="1:5" s="11" customFormat="1" x14ac:dyDescent="0.25">
      <c r="A58" s="4"/>
      <c r="B58" s="4"/>
      <c r="C58" s="15"/>
    </row>
    <row r="59" spans="1:5" s="11" customFormat="1" x14ac:dyDescent="0.25">
      <c r="A59" s="4"/>
      <c r="B59" s="4"/>
      <c r="C59" s="1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0"/>
  <sheetViews>
    <sheetView topLeftCell="A13" workbookViewId="0">
      <selection activeCell="C23" sqref="C23:C28"/>
    </sheetView>
  </sheetViews>
  <sheetFormatPr defaultRowHeight="15" x14ac:dyDescent="0.25"/>
  <cols>
    <col min="1" max="1" width="9.140625" style="4"/>
    <col min="2" max="2" width="54.5703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3.42578125" style="11" bestFit="1" customWidth="1"/>
    <col min="10" max="16384" width="9.140625" style="4"/>
  </cols>
  <sheetData>
    <row r="3" spans="2:14" x14ac:dyDescent="0.25">
      <c r="B3" s="1"/>
      <c r="C3" s="2" t="s">
        <v>5</v>
      </c>
      <c r="D3" s="2"/>
      <c r="E3" s="3" t="s">
        <v>6</v>
      </c>
      <c r="F3" s="3"/>
      <c r="G3" s="2" t="s">
        <v>7</v>
      </c>
      <c r="H3" s="2"/>
      <c r="I3" s="2" t="s">
        <v>8</v>
      </c>
    </row>
    <row r="4" spans="2:14" x14ac:dyDescent="0.25">
      <c r="B4" s="5" t="s">
        <v>15</v>
      </c>
      <c r="C4" s="6">
        <v>5000</v>
      </c>
      <c r="D4" s="6"/>
      <c r="E4" s="6">
        <v>5000</v>
      </c>
      <c r="F4" s="6"/>
      <c r="G4" s="6">
        <f>E4-C4</f>
        <v>0</v>
      </c>
      <c r="H4" s="6"/>
      <c r="I4" s="7">
        <f>G4/E4</f>
        <v>0</v>
      </c>
      <c r="L4" s="4">
        <v>130</v>
      </c>
      <c r="N4" s="4">
        <v>6</v>
      </c>
    </row>
    <row r="5" spans="2:14" x14ac:dyDescent="0.25">
      <c r="B5" s="5" t="s">
        <v>16</v>
      </c>
      <c r="C5" s="6">
        <v>0</v>
      </c>
      <c r="D5" s="6"/>
      <c r="E5" s="6">
        <v>0</v>
      </c>
      <c r="F5" s="6"/>
      <c r="G5" s="6">
        <f>E5-C5</f>
        <v>0</v>
      </c>
      <c r="H5" s="6"/>
      <c r="I5" s="7" t="e">
        <f>G5/E5</f>
        <v>#DIV/0!</v>
      </c>
      <c r="L5" s="4">
        <v>85</v>
      </c>
      <c r="N5" s="4">
        <v>4</v>
      </c>
    </row>
    <row r="6" spans="2:14" x14ac:dyDescent="0.25">
      <c r="B6" s="4" t="s">
        <v>9</v>
      </c>
      <c r="C6" s="6">
        <v>22590</v>
      </c>
      <c r="D6" s="6"/>
      <c r="E6" s="6">
        <f>C6*1.176</f>
        <v>26565.84</v>
      </c>
      <c r="F6" s="6"/>
      <c r="G6" s="6">
        <f t="shared" ref="G6:G34" si="0">E6-C6</f>
        <v>3975.84</v>
      </c>
      <c r="H6" s="6"/>
      <c r="I6" s="7">
        <f>G6/E6</f>
        <v>0.14965986394557823</v>
      </c>
      <c r="L6" s="4">
        <f>L4*L5</f>
        <v>11050</v>
      </c>
      <c r="N6" s="4">
        <v>85</v>
      </c>
    </row>
    <row r="7" spans="2:14" x14ac:dyDescent="0.25">
      <c r="B7" s="4" t="s">
        <v>10</v>
      </c>
      <c r="C7" s="6">
        <v>22590</v>
      </c>
      <c r="D7" s="6"/>
      <c r="E7" s="6">
        <f t="shared" ref="E7:E11" si="1">C7*1.176</f>
        <v>26565.84</v>
      </c>
      <c r="F7" s="6"/>
      <c r="G7" s="6">
        <f t="shared" ref="G7:G11" si="2">E7-C7</f>
        <v>3975.84</v>
      </c>
      <c r="H7" s="6"/>
      <c r="I7" s="7">
        <f t="shared" ref="I7:I11" si="3">G7/E7</f>
        <v>0.14965986394557823</v>
      </c>
      <c r="N7" s="4">
        <f>N4*N5*N6</f>
        <v>2040</v>
      </c>
    </row>
    <row r="8" spans="2:14" x14ac:dyDescent="0.25">
      <c r="B8" s="4" t="s">
        <v>13</v>
      </c>
      <c r="C8" s="6">
        <v>6499</v>
      </c>
      <c r="D8" s="6"/>
      <c r="E8" s="6">
        <f t="shared" si="1"/>
        <v>7642.8239999999996</v>
      </c>
      <c r="F8" s="6"/>
      <c r="G8" s="6">
        <f t="shared" si="2"/>
        <v>1143.8239999999996</v>
      </c>
      <c r="H8" s="6"/>
      <c r="I8" s="7">
        <f t="shared" si="3"/>
        <v>0.14965986394557818</v>
      </c>
      <c r="L8" s="4">
        <f>L6*0.05</f>
        <v>552.5</v>
      </c>
    </row>
    <row r="9" spans="2:14" x14ac:dyDescent="0.25">
      <c r="B9" s="4" t="s">
        <v>14</v>
      </c>
      <c r="C9" s="6">
        <v>14396</v>
      </c>
      <c r="D9" s="6"/>
      <c r="E9" s="6">
        <f t="shared" si="1"/>
        <v>16929.696</v>
      </c>
      <c r="F9" s="6"/>
      <c r="G9" s="6">
        <f t="shared" si="2"/>
        <v>2533.6959999999999</v>
      </c>
      <c r="H9" s="6"/>
      <c r="I9" s="7">
        <f t="shared" si="3"/>
        <v>0.14965986394557823</v>
      </c>
    </row>
    <row r="10" spans="2:14" x14ac:dyDescent="0.25">
      <c r="B10" s="4" t="s">
        <v>0</v>
      </c>
      <c r="C10" s="6">
        <v>900</v>
      </c>
      <c r="D10" s="6"/>
      <c r="E10" s="6">
        <f t="shared" si="1"/>
        <v>1058.3999999999999</v>
      </c>
      <c r="F10" s="6"/>
      <c r="G10" s="6">
        <f t="shared" si="2"/>
        <v>158.39999999999986</v>
      </c>
      <c r="H10" s="6"/>
      <c r="I10" s="7">
        <f>G10/E10</f>
        <v>0.14965986394557812</v>
      </c>
    </row>
    <row r="11" spans="2:14" x14ac:dyDescent="0.25">
      <c r="B11" s="4" t="s">
        <v>17</v>
      </c>
      <c r="C11" s="6">
        <v>7650</v>
      </c>
      <c r="D11" s="6"/>
      <c r="E11" s="6">
        <f t="shared" si="1"/>
        <v>8996.4</v>
      </c>
      <c r="F11" s="6"/>
      <c r="G11" s="6">
        <f t="shared" si="2"/>
        <v>1346.3999999999996</v>
      </c>
      <c r="H11" s="6"/>
      <c r="I11" s="7">
        <f t="shared" si="3"/>
        <v>0.1496598639455782</v>
      </c>
    </row>
    <row r="12" spans="2:14" x14ac:dyDescent="0.25">
      <c r="B12" s="4" t="s">
        <v>18</v>
      </c>
      <c r="C12" s="6">
        <v>7650</v>
      </c>
      <c r="D12" s="6"/>
      <c r="E12" s="6">
        <f t="shared" ref="E12:E14" si="4">C12*1.176</f>
        <v>8996.4</v>
      </c>
      <c r="F12" s="6"/>
      <c r="G12" s="6">
        <f t="shared" ref="G12:G14" si="5">E12-C12</f>
        <v>1346.3999999999996</v>
      </c>
      <c r="H12" s="6"/>
      <c r="I12" s="7">
        <f t="shared" ref="I12:I14" si="6">G12/E12</f>
        <v>0.1496598639455782</v>
      </c>
    </row>
    <row r="13" spans="2:14" x14ac:dyDescent="0.25">
      <c r="B13" s="4" t="s">
        <v>19</v>
      </c>
      <c r="C13" s="6">
        <v>2805</v>
      </c>
      <c r="D13" s="6"/>
      <c r="E13" s="6">
        <f t="shared" si="4"/>
        <v>3298.68</v>
      </c>
      <c r="F13" s="6"/>
      <c r="G13" s="6">
        <f t="shared" si="5"/>
        <v>493.67999999999984</v>
      </c>
      <c r="H13" s="6"/>
      <c r="I13" s="7">
        <f t="shared" si="6"/>
        <v>0.14965986394557818</v>
      </c>
    </row>
    <row r="14" spans="2:14" x14ac:dyDescent="0.25">
      <c r="B14" s="4" t="s">
        <v>21</v>
      </c>
      <c r="C14" s="6">
        <v>0</v>
      </c>
      <c r="D14" s="6"/>
      <c r="E14" s="6">
        <f t="shared" si="4"/>
        <v>0</v>
      </c>
      <c r="F14" s="6"/>
      <c r="G14" s="6">
        <f t="shared" si="5"/>
        <v>0</v>
      </c>
      <c r="H14" s="6"/>
      <c r="I14" s="7" t="e">
        <f t="shared" si="6"/>
        <v>#DIV/0!</v>
      </c>
    </row>
    <row r="15" spans="2:14" x14ac:dyDescent="0.25">
      <c r="B15" s="4" t="s">
        <v>20</v>
      </c>
      <c r="C15" s="6">
        <v>2805</v>
      </c>
      <c r="D15" s="6"/>
      <c r="E15" s="6">
        <f t="shared" ref="E15:E16" si="7">C15*1.176</f>
        <v>3298.68</v>
      </c>
      <c r="F15" s="6"/>
      <c r="G15" s="6">
        <f t="shared" ref="G15:G16" si="8">E15-C15</f>
        <v>493.67999999999984</v>
      </c>
      <c r="H15" s="6"/>
      <c r="I15" s="7">
        <f t="shared" ref="I15:I16" si="9">G15/E15</f>
        <v>0.14965986394557818</v>
      </c>
    </row>
    <row r="16" spans="2:14" x14ac:dyDescent="0.25">
      <c r="B16" s="4" t="s">
        <v>22</v>
      </c>
      <c r="C16" s="6">
        <v>0</v>
      </c>
      <c r="D16" s="6"/>
      <c r="E16" s="6">
        <f t="shared" si="7"/>
        <v>0</v>
      </c>
      <c r="F16" s="6"/>
      <c r="G16" s="6">
        <f t="shared" si="8"/>
        <v>0</v>
      </c>
      <c r="H16" s="6"/>
      <c r="I16" s="7" t="e">
        <f t="shared" si="9"/>
        <v>#DIV/0!</v>
      </c>
    </row>
    <row r="17" spans="2:9" x14ac:dyDescent="0.25">
      <c r="B17" s="4" t="s">
        <v>23</v>
      </c>
      <c r="C17" s="6">
        <v>0</v>
      </c>
      <c r="D17" s="6"/>
      <c r="E17" s="6">
        <f t="shared" ref="E17" si="10">C17*1.176</f>
        <v>0</v>
      </c>
      <c r="F17" s="6"/>
      <c r="G17" s="6">
        <f t="shared" ref="G17" si="11">E17-C17</f>
        <v>0</v>
      </c>
      <c r="H17" s="6"/>
      <c r="I17" s="7" t="e">
        <f t="shared" ref="I17" si="12">G17/E17</f>
        <v>#DIV/0!</v>
      </c>
    </row>
    <row r="18" spans="2:9" x14ac:dyDescent="0.25">
      <c r="B18" s="4" t="s">
        <v>24</v>
      </c>
      <c r="C18" s="6">
        <v>9721</v>
      </c>
      <c r="D18" s="6"/>
      <c r="E18" s="6">
        <f t="shared" ref="E18:E30" si="13">C18*1.176</f>
        <v>11431.895999999999</v>
      </c>
      <c r="F18" s="6"/>
      <c r="G18" s="6">
        <f t="shared" ref="G18:G30" si="14">E18-C18</f>
        <v>1710.8959999999988</v>
      </c>
      <c r="H18" s="6"/>
      <c r="I18" s="7">
        <f t="shared" ref="I18:I30" si="15">G18/E18</f>
        <v>0.14965986394557815</v>
      </c>
    </row>
    <row r="19" spans="2:9" x14ac:dyDescent="0.25">
      <c r="B19" s="4" t="s">
        <v>25</v>
      </c>
      <c r="C19" s="6">
        <v>9721</v>
      </c>
      <c r="D19" s="6"/>
      <c r="E19" s="6">
        <f t="shared" si="13"/>
        <v>11431.895999999999</v>
      </c>
      <c r="F19" s="6"/>
      <c r="G19" s="6">
        <f t="shared" si="14"/>
        <v>1710.8959999999988</v>
      </c>
      <c r="H19" s="6"/>
      <c r="I19" s="7">
        <f t="shared" si="15"/>
        <v>0.14965986394557815</v>
      </c>
    </row>
    <row r="20" spans="2:9" x14ac:dyDescent="0.25">
      <c r="B20" s="4" t="s">
        <v>26</v>
      </c>
      <c r="C20" s="6">
        <v>2768</v>
      </c>
      <c r="D20" s="6"/>
      <c r="E20" s="6">
        <f t="shared" si="13"/>
        <v>3255.1679999999997</v>
      </c>
      <c r="F20" s="6"/>
      <c r="G20" s="6">
        <f t="shared" si="14"/>
        <v>487.16799999999967</v>
      </c>
      <c r="H20" s="6"/>
      <c r="I20" s="7">
        <f t="shared" si="15"/>
        <v>0.14965986394557815</v>
      </c>
    </row>
    <row r="21" spans="2:9" x14ac:dyDescent="0.25">
      <c r="B21" s="4" t="s">
        <v>27</v>
      </c>
      <c r="C21" s="6">
        <v>2601</v>
      </c>
      <c r="D21" s="6"/>
      <c r="E21" s="6">
        <f t="shared" si="13"/>
        <v>3058.7759999999998</v>
      </c>
      <c r="F21" s="6"/>
      <c r="G21" s="6">
        <f t="shared" si="14"/>
        <v>457.77599999999984</v>
      </c>
      <c r="H21" s="6"/>
      <c r="I21" s="7">
        <f t="shared" si="15"/>
        <v>0.14965986394557818</v>
      </c>
    </row>
    <row r="22" spans="2:9" x14ac:dyDescent="0.25">
      <c r="B22" s="4" t="s">
        <v>28</v>
      </c>
      <c r="C22" s="6">
        <v>7140</v>
      </c>
      <c r="D22" s="6"/>
      <c r="E22" s="6">
        <f t="shared" si="13"/>
        <v>8396.64</v>
      </c>
      <c r="F22" s="6"/>
      <c r="G22" s="6">
        <f t="shared" si="14"/>
        <v>1256.6399999999994</v>
      </c>
      <c r="H22" s="6"/>
      <c r="I22" s="7">
        <f t="shared" si="15"/>
        <v>0.14965986394557818</v>
      </c>
    </row>
    <row r="23" spans="2:9" x14ac:dyDescent="0.25">
      <c r="B23" s="4" t="s">
        <v>29</v>
      </c>
      <c r="C23" s="6">
        <v>29550</v>
      </c>
      <c r="D23" s="6"/>
      <c r="E23" s="6">
        <f t="shared" si="13"/>
        <v>34750.799999999996</v>
      </c>
      <c r="F23" s="6"/>
      <c r="G23" s="6">
        <f t="shared" si="14"/>
        <v>5200.7999999999956</v>
      </c>
      <c r="H23" s="6"/>
      <c r="I23" s="7">
        <f t="shared" si="15"/>
        <v>0.14965986394557812</v>
      </c>
    </row>
    <row r="24" spans="2:9" x14ac:dyDescent="0.25">
      <c r="B24" s="4" t="s">
        <v>30</v>
      </c>
      <c r="C24" s="6">
        <v>2001</v>
      </c>
      <c r="D24" s="6"/>
      <c r="E24" s="6">
        <f t="shared" si="13"/>
        <v>2353.1759999999999</v>
      </c>
      <c r="F24" s="6"/>
      <c r="G24" s="6">
        <f t="shared" si="14"/>
        <v>352.17599999999993</v>
      </c>
      <c r="H24" s="6"/>
      <c r="I24" s="7">
        <f t="shared" si="15"/>
        <v>0.1496598639455782</v>
      </c>
    </row>
    <row r="25" spans="2:9" x14ac:dyDescent="0.25">
      <c r="B25" s="4" t="s">
        <v>31</v>
      </c>
      <c r="C25" s="6">
        <v>450</v>
      </c>
      <c r="D25" s="6"/>
      <c r="E25" s="6">
        <f t="shared" si="13"/>
        <v>529.19999999999993</v>
      </c>
      <c r="F25" s="6"/>
      <c r="G25" s="6">
        <f t="shared" si="14"/>
        <v>79.199999999999932</v>
      </c>
      <c r="H25" s="6"/>
      <c r="I25" s="7">
        <f t="shared" si="15"/>
        <v>0.14965986394557812</v>
      </c>
    </row>
    <row r="26" spans="2:9" x14ac:dyDescent="0.25">
      <c r="B26" s="4" t="s">
        <v>32</v>
      </c>
      <c r="C26" s="6">
        <v>3000</v>
      </c>
      <c r="D26" s="6"/>
      <c r="E26" s="6">
        <f t="shared" si="13"/>
        <v>3528</v>
      </c>
      <c r="F26" s="6"/>
      <c r="G26" s="6">
        <f t="shared" si="14"/>
        <v>528</v>
      </c>
      <c r="H26" s="6"/>
      <c r="I26" s="7">
        <f t="shared" si="15"/>
        <v>0.14965986394557823</v>
      </c>
    </row>
    <row r="27" spans="2:9" x14ac:dyDescent="0.25">
      <c r="B27" s="4" t="s">
        <v>33</v>
      </c>
      <c r="C27" s="6">
        <v>4000</v>
      </c>
      <c r="D27" s="6"/>
      <c r="E27" s="6">
        <f t="shared" si="13"/>
        <v>4704</v>
      </c>
      <c r="F27" s="6"/>
      <c r="G27" s="6">
        <f t="shared" si="14"/>
        <v>704</v>
      </c>
      <c r="H27" s="6"/>
      <c r="I27" s="7">
        <f t="shared" si="15"/>
        <v>0.14965986394557823</v>
      </c>
    </row>
    <row r="28" spans="2:9" x14ac:dyDescent="0.25">
      <c r="B28" s="4" t="s">
        <v>34</v>
      </c>
      <c r="C28" s="6">
        <v>1041</v>
      </c>
      <c r="D28" s="6"/>
      <c r="E28" s="6">
        <f t="shared" si="13"/>
        <v>1224.2159999999999</v>
      </c>
      <c r="F28" s="6"/>
      <c r="G28" s="6">
        <f t="shared" si="14"/>
        <v>183.21599999999989</v>
      </c>
      <c r="H28" s="6"/>
      <c r="I28" s="7">
        <f t="shared" si="15"/>
        <v>0.14965986394557815</v>
      </c>
    </row>
    <row r="29" spans="2:9" x14ac:dyDescent="0.25">
      <c r="B29" s="4" t="s">
        <v>35</v>
      </c>
      <c r="C29" s="6">
        <v>2080</v>
      </c>
      <c r="D29" s="6"/>
      <c r="E29" s="6">
        <f t="shared" si="13"/>
        <v>2446.08</v>
      </c>
      <c r="F29" s="6"/>
      <c r="G29" s="6">
        <f t="shared" si="14"/>
        <v>366.07999999999993</v>
      </c>
      <c r="H29" s="6"/>
      <c r="I29" s="7">
        <f t="shared" si="15"/>
        <v>0.1496598639455782</v>
      </c>
    </row>
    <row r="30" spans="2:9" x14ac:dyDescent="0.25">
      <c r="B30" s="4" t="s">
        <v>36</v>
      </c>
      <c r="C30" s="6">
        <v>9848</v>
      </c>
      <c r="D30" s="6"/>
      <c r="E30" s="6">
        <f t="shared" si="13"/>
        <v>11581.248</v>
      </c>
      <c r="F30" s="6"/>
      <c r="G30" s="6">
        <f t="shared" si="14"/>
        <v>1733.2479999999996</v>
      </c>
      <c r="H30" s="6"/>
      <c r="I30" s="7">
        <f t="shared" si="15"/>
        <v>0.1496598639455782</v>
      </c>
    </row>
    <row r="31" spans="2:9" x14ac:dyDescent="0.25">
      <c r="B31" s="4" t="s">
        <v>47</v>
      </c>
      <c r="C31" s="6">
        <v>5850</v>
      </c>
      <c r="D31" s="6"/>
      <c r="E31" s="6">
        <v>11050</v>
      </c>
      <c r="F31" s="6"/>
      <c r="G31" s="6">
        <f t="shared" si="0"/>
        <v>5200</v>
      </c>
      <c r="H31" s="6"/>
      <c r="I31" s="7">
        <f>G31/E31</f>
        <v>0.47058823529411764</v>
      </c>
    </row>
    <row r="32" spans="2:9" x14ac:dyDescent="0.25">
      <c r="B32" s="4" t="s">
        <v>1</v>
      </c>
      <c r="C32" s="6">
        <v>45</v>
      </c>
      <c r="D32" s="6"/>
      <c r="E32" s="6">
        <f t="shared" ref="E32:E34" si="16">C32*1.176</f>
        <v>52.919999999999995</v>
      </c>
      <c r="F32" s="6"/>
      <c r="G32" s="6">
        <f t="shared" si="0"/>
        <v>7.9199999999999946</v>
      </c>
      <c r="H32" s="6"/>
      <c r="I32" s="7">
        <f>G32/E32</f>
        <v>0.14965986394557815</v>
      </c>
    </row>
    <row r="33" spans="2:9" x14ac:dyDescent="0.25">
      <c r="B33" s="4" t="s">
        <v>2</v>
      </c>
      <c r="C33" s="6">
        <v>350</v>
      </c>
      <c r="D33" s="6"/>
      <c r="E33" s="6">
        <f t="shared" si="16"/>
        <v>411.59999999999997</v>
      </c>
      <c r="F33" s="6"/>
      <c r="G33" s="6">
        <f t="shared" si="0"/>
        <v>61.599999999999966</v>
      </c>
      <c r="H33" s="6"/>
      <c r="I33" s="7">
        <f>G33/E33</f>
        <v>0.14965986394557815</v>
      </c>
    </row>
    <row r="34" spans="2:9" x14ac:dyDescent="0.25">
      <c r="B34" s="4" t="s">
        <v>3</v>
      </c>
      <c r="C34" s="6">
        <v>2050</v>
      </c>
      <c r="D34" s="6"/>
      <c r="E34" s="6">
        <f t="shared" si="16"/>
        <v>2410.7999999999997</v>
      </c>
      <c r="F34" s="6"/>
      <c r="G34" s="6">
        <f t="shared" si="0"/>
        <v>360.79999999999973</v>
      </c>
      <c r="H34" s="6"/>
      <c r="I34" s="7">
        <f>G34/E34</f>
        <v>0.14965986394557815</v>
      </c>
    </row>
    <row r="35" spans="2:9" x14ac:dyDescent="0.25">
      <c r="B35" s="4" t="s">
        <v>11</v>
      </c>
      <c r="C35" s="6">
        <v>-3500</v>
      </c>
      <c r="D35" s="6"/>
      <c r="E35" s="6">
        <v>-3500</v>
      </c>
      <c r="F35" s="6"/>
      <c r="G35" s="6">
        <f t="shared" ref="G35:G37" si="17">E35-C35</f>
        <v>0</v>
      </c>
      <c r="H35" s="6"/>
      <c r="I35" s="7">
        <f t="shared" ref="I35:I37" si="18">G35/E35</f>
        <v>0</v>
      </c>
    </row>
    <row r="36" spans="2:9" x14ac:dyDescent="0.25">
      <c r="B36" s="4" t="s">
        <v>12</v>
      </c>
      <c r="C36" s="6">
        <v>-3500</v>
      </c>
      <c r="D36" s="6"/>
      <c r="E36" s="6">
        <v>-3500</v>
      </c>
      <c r="F36" s="6"/>
      <c r="G36" s="6">
        <f t="shared" si="17"/>
        <v>0</v>
      </c>
      <c r="H36" s="6"/>
      <c r="I36" s="7">
        <f t="shared" si="18"/>
        <v>0</v>
      </c>
    </row>
    <row r="37" spans="2:9" x14ac:dyDescent="0.25">
      <c r="B37" s="4" t="s">
        <v>37</v>
      </c>
      <c r="C37" s="6">
        <v>-3500</v>
      </c>
      <c r="D37" s="6"/>
      <c r="E37" s="6">
        <v>-3500</v>
      </c>
      <c r="F37" s="6"/>
      <c r="G37" s="6">
        <f t="shared" si="17"/>
        <v>0</v>
      </c>
      <c r="H37" s="6"/>
      <c r="I37" s="7">
        <f t="shared" si="18"/>
        <v>0</v>
      </c>
    </row>
    <row r="38" spans="2:9" x14ac:dyDescent="0.25">
      <c r="C38" s="6"/>
      <c r="D38" s="6"/>
      <c r="E38" s="6"/>
      <c r="F38" s="6"/>
      <c r="G38" s="6"/>
      <c r="H38" s="6"/>
      <c r="I38" s="7"/>
    </row>
    <row r="39" spans="2:9" x14ac:dyDescent="0.25">
      <c r="C39" s="6"/>
      <c r="D39" s="6"/>
      <c r="E39" s="6"/>
      <c r="F39" s="6"/>
      <c r="G39" s="6"/>
      <c r="H39" s="6"/>
      <c r="I39" s="7"/>
    </row>
    <row r="40" spans="2:9" x14ac:dyDescent="0.25">
      <c r="C40" s="6"/>
      <c r="D40" s="6"/>
      <c r="E40" s="6"/>
      <c r="F40" s="6"/>
      <c r="G40" s="6"/>
      <c r="H40" s="6"/>
      <c r="I40" s="7"/>
    </row>
    <row r="41" spans="2:9" ht="15.75" thickBot="1" x14ac:dyDescent="0.3">
      <c r="B41" s="8"/>
      <c r="C41" s="6"/>
      <c r="D41" s="6"/>
      <c r="E41" s="9"/>
      <c r="F41" s="9"/>
      <c r="G41" s="6"/>
      <c r="H41" s="6"/>
      <c r="I41" s="7"/>
    </row>
    <row r="42" spans="2:9" ht="15.75" thickTop="1" x14ac:dyDescent="0.25">
      <c r="B42" s="8" t="s">
        <v>4</v>
      </c>
      <c r="C42" s="10">
        <f>SUM(C4:C41)</f>
        <v>174601</v>
      </c>
      <c r="D42" s="6"/>
      <c r="E42" s="10">
        <f>SUM(E4:E41)</f>
        <v>210469.17599999998</v>
      </c>
      <c r="F42" s="9"/>
      <c r="G42" s="10">
        <f>SUM(G4:G41)</f>
        <v>35868.175999999985</v>
      </c>
      <c r="H42" s="9"/>
      <c r="I42" s="7">
        <f>G42/E42</f>
        <v>0.17042009039841535</v>
      </c>
    </row>
    <row r="43" spans="2:9" x14ac:dyDescent="0.25">
      <c r="E43" s="6">
        <v>0</v>
      </c>
      <c r="I43" s="7"/>
    </row>
    <row r="44" spans="2:9" x14ac:dyDescent="0.25">
      <c r="E44" s="6">
        <f>E42+E43</f>
        <v>210469.17599999998</v>
      </c>
      <c r="G44" s="6">
        <f>E44-C42</f>
        <v>35868.175999999978</v>
      </c>
      <c r="I44" s="7">
        <f>G44/E44</f>
        <v>0.1704200903984153</v>
      </c>
    </row>
    <row r="45" spans="2:9" x14ac:dyDescent="0.25">
      <c r="E45" s="6"/>
      <c r="I45" s="7"/>
    </row>
    <row r="46" spans="2:9" x14ac:dyDescent="0.25">
      <c r="E46" s="6"/>
      <c r="I46" s="6"/>
    </row>
    <row r="47" spans="2:9" x14ac:dyDescent="0.25">
      <c r="E47" s="6"/>
    </row>
    <row r="48" spans="2:9" x14ac:dyDescent="0.25">
      <c r="E48" s="6"/>
    </row>
    <row r="51" spans="2:3" x14ac:dyDescent="0.25">
      <c r="B51" s="4" t="s">
        <v>38</v>
      </c>
    </row>
    <row r="52" spans="2:3" x14ac:dyDescent="0.25">
      <c r="B52" s="4" t="s">
        <v>39</v>
      </c>
      <c r="C52" s="11">
        <v>24</v>
      </c>
    </row>
    <row r="53" spans="2:3" x14ac:dyDescent="0.25">
      <c r="B53" s="4" t="s">
        <v>40</v>
      </c>
      <c r="C53" s="11">
        <v>8</v>
      </c>
    </row>
    <row r="54" spans="2:3" x14ac:dyDescent="0.25">
      <c r="B54" s="4" t="s">
        <v>41</v>
      </c>
      <c r="C54" s="11">
        <v>60</v>
      </c>
    </row>
    <row r="55" spans="2:3" x14ac:dyDescent="0.25">
      <c r="B55" s="4" t="s">
        <v>42</v>
      </c>
      <c r="C55" s="11">
        <v>8</v>
      </c>
    </row>
    <row r="56" spans="2:3" x14ac:dyDescent="0.25">
      <c r="B56" s="4" t="s">
        <v>48</v>
      </c>
      <c r="C56" s="11">
        <v>12</v>
      </c>
    </row>
    <row r="57" spans="2:3" x14ac:dyDescent="0.25">
      <c r="B57" s="4" t="s">
        <v>43</v>
      </c>
      <c r="C57" s="11">
        <v>8</v>
      </c>
    </row>
    <row r="58" spans="2:3" x14ac:dyDescent="0.25">
      <c r="B58" s="4" t="s">
        <v>44</v>
      </c>
      <c r="C58" s="11">
        <v>8</v>
      </c>
    </row>
    <row r="59" spans="2:3" x14ac:dyDescent="0.25">
      <c r="B59" s="4" t="s">
        <v>45</v>
      </c>
      <c r="C59" s="11">
        <v>16</v>
      </c>
    </row>
    <row r="60" spans="2:3" x14ac:dyDescent="0.25">
      <c r="B60" s="4" t="s">
        <v>46</v>
      </c>
      <c r="C60" s="11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2017-02-01T20:47:29Z</cp:lastPrinted>
  <dcterms:created xsi:type="dcterms:W3CDTF">2016-10-06T22:22:22Z</dcterms:created>
  <dcterms:modified xsi:type="dcterms:W3CDTF">2017-02-01T21:34:34Z</dcterms:modified>
</cp:coreProperties>
</file>