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Pete Lien &amp; Sons\"/>
    </mc:Choice>
  </mc:AlternateContent>
  <bookViews>
    <workbookView xWindow="0" yWindow="0" windowWidth="20490" windowHeight="7530"/>
  </bookViews>
  <sheets>
    <sheet name="Sheet1" sheetId="1" r:id="rId1"/>
    <sheet name="Trade" sheetId="2" state="hidden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G20" i="1" s="1"/>
  <c r="I20" i="1" s="1"/>
  <c r="E19" i="1"/>
  <c r="G19" i="1" s="1"/>
  <c r="I19" i="1" s="1"/>
  <c r="G18" i="1"/>
  <c r="I18" i="1" s="1"/>
  <c r="E18" i="1"/>
  <c r="E17" i="1"/>
  <c r="G17" i="1" s="1"/>
  <c r="I17" i="1" s="1"/>
  <c r="E28" i="1" l="1"/>
  <c r="E27" i="1"/>
  <c r="E6" i="1" l="1"/>
  <c r="E7" i="1"/>
  <c r="E8" i="1"/>
  <c r="E9" i="1"/>
  <c r="E10" i="1"/>
  <c r="E11" i="1"/>
  <c r="E12" i="1"/>
  <c r="E13" i="1"/>
  <c r="E14" i="1"/>
  <c r="E15" i="1"/>
  <c r="E16" i="1"/>
  <c r="E21" i="1"/>
  <c r="E22" i="1"/>
  <c r="E23" i="1"/>
  <c r="E24" i="1"/>
  <c r="E25" i="1"/>
  <c r="E26" i="1"/>
  <c r="E5" i="1"/>
  <c r="G16" i="1"/>
  <c r="I16" i="1" s="1"/>
  <c r="G15" i="1"/>
  <c r="I15" i="1" s="1"/>
  <c r="G14" i="1"/>
  <c r="I14" i="1" s="1"/>
  <c r="G33" i="1" l="1"/>
  <c r="I33" i="1" s="1"/>
  <c r="G27" i="1" l="1"/>
  <c r="I27" i="1" s="1"/>
  <c r="G26" i="1"/>
  <c r="I26" i="1" s="1"/>
  <c r="G25" i="1"/>
  <c r="I25" i="1" s="1"/>
  <c r="G9" i="1" l="1"/>
  <c r="I9" i="1" s="1"/>
  <c r="G10" i="1"/>
  <c r="I10" i="1" s="1"/>
  <c r="G12" i="1"/>
  <c r="I12" i="1" s="1"/>
  <c r="G13" i="1"/>
  <c r="I13" i="1" s="1"/>
  <c r="G21" i="1"/>
  <c r="I21" i="1" s="1"/>
  <c r="G22" i="1"/>
  <c r="I22" i="1" s="1"/>
  <c r="G23" i="1"/>
  <c r="I23" i="1" s="1"/>
  <c r="G24" i="1"/>
  <c r="I24" i="1" s="1"/>
  <c r="G28" i="1"/>
  <c r="I28" i="1" s="1"/>
  <c r="G29" i="1"/>
  <c r="I29" i="1" s="1"/>
  <c r="G30" i="1"/>
  <c r="I30" i="1" s="1"/>
  <c r="G31" i="1"/>
  <c r="E32" i="1"/>
  <c r="G32" i="1" s="1"/>
  <c r="G11" i="1"/>
  <c r="I11" i="1" s="1"/>
  <c r="G7" i="1" l="1"/>
  <c r="I7" i="1" s="1"/>
  <c r="G6" i="1"/>
  <c r="I6" i="1" s="1"/>
  <c r="G8" i="1"/>
  <c r="I8" i="1" s="1"/>
  <c r="C35" i="1"/>
  <c r="G5" i="1"/>
  <c r="I5" i="1" s="1"/>
  <c r="D10" i="2" l="1"/>
  <c r="E35" i="1" l="1"/>
  <c r="E37" i="1" l="1"/>
  <c r="G37" i="1" s="1"/>
  <c r="I37" i="1" s="1"/>
  <c r="I31" i="1"/>
  <c r="I32" i="1"/>
  <c r="G35" i="1" l="1"/>
  <c r="I35" i="1" s="1"/>
</calcChain>
</file>

<file path=xl/sharedStrings.xml><?xml version="1.0" encoding="utf-8"?>
<sst xmlns="http://schemas.openxmlformats.org/spreadsheetml/2006/main" count="40" uniqueCount="39">
  <si>
    <t>Freight</t>
  </si>
  <si>
    <t>Consumables</t>
  </si>
  <si>
    <t>Engineering</t>
  </si>
  <si>
    <t>Total</t>
  </si>
  <si>
    <t>Cost</t>
  </si>
  <si>
    <t>Sell</t>
  </si>
  <si>
    <t>Gross Margin</t>
  </si>
  <si>
    <t>Trade In</t>
  </si>
  <si>
    <t>less Flat Rate Cert</t>
  </si>
  <si>
    <t>less 25%</t>
  </si>
  <si>
    <t>Garmin 400W GPS (ILS Price)</t>
  </si>
  <si>
    <t>* Chartview Enablement</t>
  </si>
  <si>
    <t>Mid-Continent MD302 Stby</t>
  </si>
  <si>
    <t>CB Panel</t>
  </si>
  <si>
    <t>%</t>
  </si>
  <si>
    <t>G100 Standard LRU Kit</t>
  </si>
  <si>
    <t>G1000 LRU Install Kit</t>
  </si>
  <si>
    <t>G1000 STC Parts Kits</t>
  </si>
  <si>
    <t>G1000 Document Kit</t>
  </si>
  <si>
    <t>* C90 Loader Card</t>
  </si>
  <si>
    <t>Garmin GRS-77 Install Kit</t>
  </si>
  <si>
    <t>Garmin GRS-77 Rack</t>
  </si>
  <si>
    <t>Flight Stream 110</t>
  </si>
  <si>
    <t>Instrument Panel</t>
  </si>
  <si>
    <t>Collins RAC-870 P/N 622-7209-00X RA Converter</t>
  </si>
  <si>
    <t>Megget Signal Generator P/N 85-292-4 (2EA)</t>
  </si>
  <si>
    <t>G1000 Basic Installation C90GTi</t>
  </si>
  <si>
    <t>PL21 Trade In Allowance</t>
  </si>
  <si>
    <t xml:space="preserve">Garmin GRS-77 AHRS </t>
  </si>
  <si>
    <t>Garmin GRS-77 AHRS 2</t>
  </si>
  <si>
    <t>Garmin GRS-77 Install Kit 2</t>
  </si>
  <si>
    <t>Garmin GRS-77 Rack 2</t>
  </si>
  <si>
    <t>GTX 345R for G1000 with Install Kit</t>
  </si>
  <si>
    <t>GTX 335R for G1000 with Install Kit 2</t>
  </si>
  <si>
    <t>Garmin GMU-44 Magnetometer</t>
  </si>
  <si>
    <t>Garmin GMU-44 Install Kit</t>
  </si>
  <si>
    <t>Garmin GMU-44 Magnetometer 2</t>
  </si>
  <si>
    <t>Garmin GMU-44 Install Kit 2</t>
  </si>
  <si>
    <t>Installation 1000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</si>
</sst>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indent="1"/>
    </xf>
    <xf numFmtId="0" fontId="1" fillId="0" borderId="0" xfId="0" applyFont="1"/>
    <xf numFmtId="0" fontId="2" fillId="0" borderId="0" xfId="0" applyFont="1" applyAlignment="1">
      <alignment horizontal="right" indent="1"/>
    </xf>
    <xf numFmtId="164" fontId="2" fillId="0" borderId="0" xfId="0" applyNumberFormat="1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3"/>
  <sheetViews>
    <sheetView tabSelected="1" topLeftCell="A13" zoomScale="90" zoomScaleNormal="90" workbookViewId="0">
      <selection activeCell="L28" sqref="L28"/>
    </sheetView>
  </sheetViews>
  <sheetFormatPr defaultRowHeight="12.75" x14ac:dyDescent="0.2"/>
  <cols>
    <col min="1" max="1" width="3.28515625" style="2" customWidth="1"/>
    <col min="2" max="2" width="42.28515625" style="2" customWidth="1"/>
    <col min="3" max="3" width="22.42578125" style="12" customWidth="1"/>
    <col min="4" max="4" width="2.140625" style="12" customWidth="1"/>
    <col min="5" max="5" width="20.5703125" style="12" customWidth="1"/>
    <col min="6" max="6" width="1.7109375" style="12" customWidth="1"/>
    <col min="7" max="7" width="18.85546875" style="12" customWidth="1"/>
    <col min="8" max="8" width="2" style="12" customWidth="1"/>
    <col min="9" max="9" width="9.140625" style="14"/>
    <col min="10" max="16384" width="9.140625" style="2"/>
  </cols>
  <sheetData>
    <row r="1" spans="2:9" x14ac:dyDescent="0.2">
      <c r="B1" s="2" t="s">
        <v>26</v>
      </c>
    </row>
    <row r="3" spans="2:9" x14ac:dyDescent="0.2">
      <c r="B3" s="1"/>
      <c r="C3" s="7" t="s">
        <v>4</v>
      </c>
      <c r="D3" s="7"/>
      <c r="E3" s="8" t="s">
        <v>5</v>
      </c>
      <c r="F3" s="8"/>
      <c r="G3" s="7" t="s">
        <v>6</v>
      </c>
      <c r="H3" s="7"/>
      <c r="I3" s="7" t="s">
        <v>14</v>
      </c>
    </row>
    <row r="4" spans="2:9" x14ac:dyDescent="0.2">
      <c r="B4" s="1"/>
      <c r="C4" s="7"/>
      <c r="D4" s="7"/>
      <c r="E4" s="8"/>
      <c r="F4" s="8"/>
      <c r="G4" s="7"/>
      <c r="H4" s="7"/>
      <c r="I4" s="15"/>
    </row>
    <row r="5" spans="2:9" x14ac:dyDescent="0.2">
      <c r="B5" s="10" t="s">
        <v>15</v>
      </c>
      <c r="C5" s="4">
        <v>126154</v>
      </c>
      <c r="D5" s="4"/>
      <c r="E5" s="4">
        <f>C5*1.111</f>
        <v>140157.09400000001</v>
      </c>
      <c r="F5" s="4"/>
      <c r="G5" s="4">
        <f>E5-C5</f>
        <v>14003.094000000012</v>
      </c>
      <c r="H5" s="4"/>
      <c r="I5" s="15">
        <f t="shared" ref="I5:I35" si="0">G5/E5</f>
        <v>9.9909990999099987E-2</v>
      </c>
    </row>
    <row r="6" spans="2:9" x14ac:dyDescent="0.2">
      <c r="B6" s="10" t="s">
        <v>16</v>
      </c>
      <c r="C6" s="4">
        <v>6090</v>
      </c>
      <c r="D6" s="4"/>
      <c r="E6" s="4">
        <f t="shared" ref="E6:E28" si="1">C6*1.111</f>
        <v>6765.99</v>
      </c>
      <c r="F6" s="4"/>
      <c r="G6" s="4">
        <f t="shared" ref="G6:G33" si="2">E6-C6</f>
        <v>675.98999999999978</v>
      </c>
      <c r="H6" s="4"/>
      <c r="I6" s="15">
        <f t="shared" si="0"/>
        <v>9.9909990999099876E-2</v>
      </c>
    </row>
    <row r="7" spans="2:9" x14ac:dyDescent="0.2">
      <c r="B7" s="10" t="s">
        <v>17</v>
      </c>
      <c r="C7" s="4">
        <v>14963</v>
      </c>
      <c r="D7" s="4"/>
      <c r="E7" s="4">
        <f t="shared" si="1"/>
        <v>16623.893</v>
      </c>
      <c r="F7" s="4"/>
      <c r="G7" s="4">
        <f t="shared" si="2"/>
        <v>1660.893</v>
      </c>
      <c r="H7" s="4"/>
      <c r="I7" s="15">
        <f t="shared" si="0"/>
        <v>9.9909990999099918E-2</v>
      </c>
    </row>
    <row r="8" spans="2:9" x14ac:dyDescent="0.2">
      <c r="B8" s="10" t="s">
        <v>18</v>
      </c>
      <c r="C8" s="4">
        <v>13313</v>
      </c>
      <c r="D8" s="4"/>
      <c r="E8" s="4">
        <f t="shared" si="1"/>
        <v>14790.743</v>
      </c>
      <c r="F8" s="4"/>
      <c r="G8" s="4">
        <f t="shared" si="2"/>
        <v>1477.7430000000004</v>
      </c>
      <c r="H8" s="4"/>
      <c r="I8" s="15">
        <f t="shared" si="0"/>
        <v>9.9909990999099932E-2</v>
      </c>
    </row>
    <row r="9" spans="2:9" x14ac:dyDescent="0.2">
      <c r="B9" s="10" t="s">
        <v>11</v>
      </c>
      <c r="C9" s="4">
        <v>2250</v>
      </c>
      <c r="D9" s="4"/>
      <c r="E9" s="4">
        <f t="shared" si="1"/>
        <v>2499.75</v>
      </c>
      <c r="F9" s="4"/>
      <c r="G9" s="4">
        <f t="shared" si="2"/>
        <v>249.75</v>
      </c>
      <c r="H9" s="4"/>
      <c r="I9" s="15">
        <f t="shared" si="0"/>
        <v>9.9909990999099904E-2</v>
      </c>
    </row>
    <row r="10" spans="2:9" x14ac:dyDescent="0.2">
      <c r="B10" s="10" t="s">
        <v>19</v>
      </c>
      <c r="C10" s="4">
        <v>150</v>
      </c>
      <c r="D10" s="4"/>
      <c r="E10" s="4">
        <f t="shared" si="1"/>
        <v>166.65</v>
      </c>
      <c r="F10" s="4"/>
      <c r="G10" s="4">
        <f t="shared" si="2"/>
        <v>16.650000000000006</v>
      </c>
      <c r="H10" s="4"/>
      <c r="I10" s="15">
        <f t="shared" si="0"/>
        <v>9.9909990999099946E-2</v>
      </c>
    </row>
    <row r="11" spans="2:9" x14ac:dyDescent="0.2">
      <c r="B11" s="10" t="s">
        <v>28</v>
      </c>
      <c r="C11" s="4">
        <v>5097</v>
      </c>
      <c r="D11" s="4"/>
      <c r="E11" s="4">
        <f t="shared" si="1"/>
        <v>5662.7669999999998</v>
      </c>
      <c r="F11" s="4"/>
      <c r="G11" s="4">
        <f t="shared" si="2"/>
        <v>565.76699999999983</v>
      </c>
      <c r="H11" s="4"/>
      <c r="I11" s="15">
        <f t="shared" si="0"/>
        <v>9.9909990999099876E-2</v>
      </c>
    </row>
    <row r="12" spans="2:9" x14ac:dyDescent="0.2">
      <c r="B12" s="10" t="s">
        <v>20</v>
      </c>
      <c r="C12" s="4">
        <v>240</v>
      </c>
      <c r="D12" s="4"/>
      <c r="E12" s="4">
        <f t="shared" si="1"/>
        <v>266.64</v>
      </c>
      <c r="F12" s="4"/>
      <c r="G12" s="4">
        <f t="shared" si="2"/>
        <v>26.639999999999986</v>
      </c>
      <c r="H12" s="4"/>
      <c r="I12" s="15">
        <f t="shared" si="0"/>
        <v>9.9909990999099862E-2</v>
      </c>
    </row>
    <row r="13" spans="2:9" x14ac:dyDescent="0.2">
      <c r="B13" s="10" t="s">
        <v>21</v>
      </c>
      <c r="C13" s="4">
        <v>60</v>
      </c>
      <c r="D13" s="4"/>
      <c r="E13" s="4">
        <f t="shared" si="1"/>
        <v>66.66</v>
      </c>
      <c r="F13" s="4"/>
      <c r="G13" s="4">
        <f t="shared" si="2"/>
        <v>6.6599999999999966</v>
      </c>
      <c r="H13" s="4"/>
      <c r="I13" s="15">
        <f t="shared" si="0"/>
        <v>9.9909990999099862E-2</v>
      </c>
    </row>
    <row r="14" spans="2:9" x14ac:dyDescent="0.2">
      <c r="B14" s="10" t="s">
        <v>29</v>
      </c>
      <c r="C14" s="4">
        <v>5097</v>
      </c>
      <c r="D14" s="4"/>
      <c r="E14" s="4">
        <f t="shared" si="1"/>
        <v>5662.7669999999998</v>
      </c>
      <c r="F14" s="4"/>
      <c r="G14" s="4">
        <f t="shared" ref="G14:G20" si="3">E14-C14</f>
        <v>565.76699999999983</v>
      </c>
      <c r="H14" s="4"/>
      <c r="I14" s="15">
        <f t="shared" ref="I14:I20" si="4">G14/E14</f>
        <v>9.9909990999099876E-2</v>
      </c>
    </row>
    <row r="15" spans="2:9" x14ac:dyDescent="0.2">
      <c r="B15" s="10" t="s">
        <v>30</v>
      </c>
      <c r="C15" s="4">
        <v>240</v>
      </c>
      <c r="D15" s="4"/>
      <c r="E15" s="4">
        <f t="shared" si="1"/>
        <v>266.64</v>
      </c>
      <c r="F15" s="4"/>
      <c r="G15" s="4">
        <f t="shared" si="3"/>
        <v>26.639999999999986</v>
      </c>
      <c r="H15" s="4"/>
      <c r="I15" s="15">
        <f t="shared" si="4"/>
        <v>9.9909990999099862E-2</v>
      </c>
    </row>
    <row r="16" spans="2:9" x14ac:dyDescent="0.2">
      <c r="B16" s="10" t="s">
        <v>31</v>
      </c>
      <c r="C16" s="4">
        <v>60</v>
      </c>
      <c r="D16" s="4"/>
      <c r="E16" s="4">
        <f t="shared" si="1"/>
        <v>66.66</v>
      </c>
      <c r="F16" s="4"/>
      <c r="G16" s="4">
        <f t="shared" si="3"/>
        <v>6.6599999999999966</v>
      </c>
      <c r="H16" s="4"/>
      <c r="I16" s="15">
        <f t="shared" si="4"/>
        <v>9.9909990999099862E-2</v>
      </c>
    </row>
    <row r="17" spans="2:9" x14ac:dyDescent="0.2">
      <c r="B17" s="10" t="s">
        <v>34</v>
      </c>
      <c r="C17" s="4">
        <v>1496</v>
      </c>
      <c r="D17" s="4"/>
      <c r="E17" s="4">
        <f t="shared" si="1"/>
        <v>1662.056</v>
      </c>
      <c r="F17" s="4"/>
      <c r="G17" s="4">
        <f t="shared" si="3"/>
        <v>166.05600000000004</v>
      </c>
      <c r="H17" s="4"/>
      <c r="I17" s="15">
        <f t="shared" si="4"/>
        <v>9.9909990999099932E-2</v>
      </c>
    </row>
    <row r="18" spans="2:9" x14ac:dyDescent="0.2">
      <c r="B18" s="10" t="s">
        <v>35</v>
      </c>
      <c r="C18" s="4">
        <v>158</v>
      </c>
      <c r="D18" s="4"/>
      <c r="E18" s="4">
        <f t="shared" si="1"/>
        <v>175.53800000000001</v>
      </c>
      <c r="F18" s="4"/>
      <c r="G18" s="4">
        <f t="shared" si="3"/>
        <v>17.538000000000011</v>
      </c>
      <c r="H18" s="4"/>
      <c r="I18" s="15">
        <f t="shared" si="4"/>
        <v>9.990999099909996E-2</v>
      </c>
    </row>
    <row r="19" spans="2:9" x14ac:dyDescent="0.2">
      <c r="B19" s="10" t="s">
        <v>36</v>
      </c>
      <c r="C19" s="4">
        <v>1496</v>
      </c>
      <c r="D19" s="4"/>
      <c r="E19" s="4">
        <f t="shared" si="1"/>
        <v>1662.056</v>
      </c>
      <c r="F19" s="4"/>
      <c r="G19" s="4">
        <f t="shared" si="3"/>
        <v>166.05600000000004</v>
      </c>
      <c r="H19" s="4"/>
      <c r="I19" s="15">
        <f t="shared" si="4"/>
        <v>9.9909990999099932E-2</v>
      </c>
    </row>
    <row r="20" spans="2:9" x14ac:dyDescent="0.2">
      <c r="B20" s="10" t="s">
        <v>37</v>
      </c>
      <c r="C20" s="4">
        <v>158</v>
      </c>
      <c r="D20" s="4"/>
      <c r="E20" s="4">
        <f t="shared" si="1"/>
        <v>175.53800000000001</v>
      </c>
      <c r="F20" s="4"/>
      <c r="G20" s="4">
        <f t="shared" si="3"/>
        <v>17.538000000000011</v>
      </c>
      <c r="H20" s="4"/>
      <c r="I20" s="15">
        <f t="shared" si="4"/>
        <v>9.990999099909996E-2</v>
      </c>
    </row>
    <row r="21" spans="2:9" x14ac:dyDescent="0.2">
      <c r="B21" s="10" t="s">
        <v>32</v>
      </c>
      <c r="C21" s="4">
        <v>3746</v>
      </c>
      <c r="D21" s="4"/>
      <c r="E21" s="4">
        <f t="shared" si="1"/>
        <v>4161.8059999999996</v>
      </c>
      <c r="F21" s="4"/>
      <c r="G21" s="4">
        <f t="shared" si="2"/>
        <v>415.80599999999959</v>
      </c>
      <c r="H21" s="4"/>
      <c r="I21" s="15">
        <f t="shared" si="0"/>
        <v>9.9909990999099821E-2</v>
      </c>
    </row>
    <row r="22" spans="2:9" x14ac:dyDescent="0.2">
      <c r="B22" s="10" t="s">
        <v>33</v>
      </c>
      <c r="C22" s="4">
        <v>2247</v>
      </c>
      <c r="D22" s="4"/>
      <c r="E22" s="4">
        <f t="shared" si="1"/>
        <v>2496.4169999999999</v>
      </c>
      <c r="F22" s="4"/>
      <c r="G22" s="4">
        <f t="shared" si="2"/>
        <v>249.41699999999992</v>
      </c>
      <c r="H22" s="4"/>
      <c r="I22" s="15">
        <f t="shared" si="0"/>
        <v>9.9909990999099876E-2</v>
      </c>
    </row>
    <row r="23" spans="2:9" x14ac:dyDescent="0.2">
      <c r="B23" s="10" t="s">
        <v>12</v>
      </c>
      <c r="C23" s="4">
        <v>7480</v>
      </c>
      <c r="D23" s="4"/>
      <c r="E23" s="4">
        <f t="shared" si="1"/>
        <v>8310.2800000000007</v>
      </c>
      <c r="F23" s="4"/>
      <c r="G23" s="4">
        <f t="shared" si="2"/>
        <v>830.28000000000065</v>
      </c>
      <c r="H23" s="4"/>
      <c r="I23" s="15">
        <f t="shared" si="0"/>
        <v>9.9909990999099987E-2</v>
      </c>
    </row>
    <row r="24" spans="2:9" x14ac:dyDescent="0.2">
      <c r="B24" s="2" t="s">
        <v>22</v>
      </c>
      <c r="C24" s="4">
        <v>415</v>
      </c>
      <c r="D24" s="4"/>
      <c r="E24" s="4">
        <f t="shared" si="1"/>
        <v>461.065</v>
      </c>
      <c r="F24" s="4"/>
      <c r="G24" s="4">
        <f t="shared" si="2"/>
        <v>46.064999999999998</v>
      </c>
      <c r="H24" s="4"/>
      <c r="I24" s="15">
        <f t="shared" si="0"/>
        <v>9.9909990999099904E-2</v>
      </c>
    </row>
    <row r="25" spans="2:9" x14ac:dyDescent="0.2">
      <c r="B25" s="2" t="s">
        <v>24</v>
      </c>
      <c r="C25" s="4">
        <v>0</v>
      </c>
      <c r="D25" s="4"/>
      <c r="E25" s="4">
        <f t="shared" si="1"/>
        <v>0</v>
      </c>
      <c r="F25" s="4"/>
      <c r="G25" s="4">
        <f t="shared" si="2"/>
        <v>0</v>
      </c>
      <c r="H25" s="4"/>
      <c r="I25" s="15" t="e">
        <f t="shared" si="0"/>
        <v>#DIV/0!</v>
      </c>
    </row>
    <row r="26" spans="2:9" x14ac:dyDescent="0.2">
      <c r="B26" s="2" t="s">
        <v>25</v>
      </c>
      <c r="C26" s="4">
        <v>2000</v>
      </c>
      <c r="D26" s="4"/>
      <c r="E26" s="4">
        <f t="shared" si="1"/>
        <v>2222</v>
      </c>
      <c r="F26" s="4"/>
      <c r="G26" s="4">
        <f t="shared" si="2"/>
        <v>222</v>
      </c>
      <c r="H26" s="4"/>
      <c r="I26" s="15">
        <f t="shared" si="0"/>
        <v>9.9909990999099904E-2</v>
      </c>
    </row>
    <row r="27" spans="2:9" x14ac:dyDescent="0.2">
      <c r="B27" s="2" t="s">
        <v>23</v>
      </c>
      <c r="C27" s="4">
        <v>3000</v>
      </c>
      <c r="D27" s="4"/>
      <c r="E27" s="4">
        <f t="shared" si="1"/>
        <v>3333</v>
      </c>
      <c r="F27" s="4"/>
      <c r="G27" s="4">
        <f t="shared" si="2"/>
        <v>333</v>
      </c>
      <c r="H27" s="4"/>
      <c r="I27" s="15">
        <f t="shared" si="0"/>
        <v>9.9909990999099904E-2</v>
      </c>
    </row>
    <row r="28" spans="2:9" x14ac:dyDescent="0.2">
      <c r="B28" s="2" t="s">
        <v>13</v>
      </c>
      <c r="C28" s="4">
        <v>1500</v>
      </c>
      <c r="D28" s="4"/>
      <c r="E28" s="4">
        <f t="shared" si="1"/>
        <v>1666.5</v>
      </c>
      <c r="F28" s="4"/>
      <c r="G28" s="4">
        <f t="shared" si="2"/>
        <v>166.5</v>
      </c>
      <c r="H28" s="4"/>
      <c r="I28" s="15">
        <f t="shared" si="0"/>
        <v>9.9909990999099904E-2</v>
      </c>
    </row>
    <row r="29" spans="2:9" x14ac:dyDescent="0.2">
      <c r="B29" s="2" t="s">
        <v>38</v>
      </c>
      <c r="C29" s="4">
        <v>45000</v>
      </c>
      <c r="D29" s="4"/>
      <c r="E29" s="4">
        <v>80000</v>
      </c>
      <c r="F29" s="4"/>
      <c r="G29" s="4">
        <f t="shared" si="2"/>
        <v>35000</v>
      </c>
      <c r="H29" s="4"/>
      <c r="I29" s="15">
        <f t="shared" si="0"/>
        <v>0.4375</v>
      </c>
    </row>
    <row r="30" spans="2:9" x14ac:dyDescent="0.2">
      <c r="B30" s="2" t="s">
        <v>0</v>
      </c>
      <c r="C30" s="4">
        <v>1500</v>
      </c>
      <c r="D30" s="4"/>
      <c r="E30" s="4">
        <v>1500</v>
      </c>
      <c r="F30" s="4"/>
      <c r="G30" s="4">
        <f t="shared" si="2"/>
        <v>0</v>
      </c>
      <c r="H30" s="4"/>
      <c r="I30" s="15">
        <f t="shared" si="0"/>
        <v>0</v>
      </c>
    </row>
    <row r="31" spans="2:9" x14ac:dyDescent="0.2">
      <c r="B31" s="2" t="s">
        <v>1</v>
      </c>
      <c r="C31" s="4">
        <v>3500</v>
      </c>
      <c r="D31" s="4"/>
      <c r="E31" s="4">
        <v>3500</v>
      </c>
      <c r="F31" s="4"/>
      <c r="G31" s="4">
        <f t="shared" si="2"/>
        <v>0</v>
      </c>
      <c r="H31" s="4"/>
      <c r="I31" s="15">
        <f t="shared" si="0"/>
        <v>0</v>
      </c>
    </row>
    <row r="32" spans="2:9" x14ac:dyDescent="0.2">
      <c r="B32" s="2" t="s">
        <v>2</v>
      </c>
      <c r="C32" s="4">
        <v>1500</v>
      </c>
      <c r="D32" s="4"/>
      <c r="E32" s="4">
        <f t="shared" ref="E32" si="5">C32*1.176</f>
        <v>1764</v>
      </c>
      <c r="F32" s="4"/>
      <c r="G32" s="4">
        <f t="shared" si="2"/>
        <v>264</v>
      </c>
      <c r="H32" s="4"/>
      <c r="I32" s="15">
        <f t="shared" si="0"/>
        <v>0.14965986394557823</v>
      </c>
    </row>
    <row r="33" spans="2:9" x14ac:dyDescent="0.2">
      <c r="B33" s="2" t="s">
        <v>27</v>
      </c>
      <c r="C33" s="4">
        <v>-30000</v>
      </c>
      <c r="D33" s="4"/>
      <c r="E33" s="4">
        <v>-30000</v>
      </c>
      <c r="F33" s="4"/>
      <c r="G33" s="4">
        <f t="shared" si="2"/>
        <v>0</v>
      </c>
      <c r="H33" s="4"/>
      <c r="I33" s="15">
        <f t="shared" si="0"/>
        <v>0</v>
      </c>
    </row>
    <row r="34" spans="2:9" ht="13.5" thickBot="1" x14ac:dyDescent="0.25">
      <c r="B34" s="3"/>
      <c r="C34" s="4"/>
      <c r="D34" s="4"/>
      <c r="E34" s="5"/>
      <c r="F34" s="5"/>
      <c r="G34" s="4"/>
      <c r="H34" s="4"/>
      <c r="I34" s="15"/>
    </row>
    <row r="35" spans="2:9" ht="13.5" thickTop="1" x14ac:dyDescent="0.2">
      <c r="B35" s="3" t="s">
        <v>3</v>
      </c>
      <c r="C35" s="6">
        <f>SUM(C5:C34)</f>
        <v>218910</v>
      </c>
      <c r="D35" s="4"/>
      <c r="E35" s="6">
        <f>SUM(E5:E34)</f>
        <v>276086.51</v>
      </c>
      <c r="F35" s="5"/>
      <c r="G35" s="6">
        <f>SUM(G5:G34)</f>
        <v>57176.510000000009</v>
      </c>
      <c r="H35" s="5"/>
      <c r="I35" s="15">
        <f t="shared" si="0"/>
        <v>0.20709635541410557</v>
      </c>
    </row>
    <row r="36" spans="2:9" x14ac:dyDescent="0.2">
      <c r="B36" s="3"/>
      <c r="E36" s="4">
        <v>-3000</v>
      </c>
      <c r="I36" s="15"/>
    </row>
    <row r="37" spans="2:9" x14ac:dyDescent="0.2">
      <c r="E37" s="4">
        <f>E35+E36</f>
        <v>273086.51</v>
      </c>
      <c r="G37" s="4">
        <f>E37-C35</f>
        <v>54176.510000000009</v>
      </c>
      <c r="I37" s="15">
        <f>G37/E37</f>
        <v>0.1983858887793469</v>
      </c>
    </row>
    <row r="38" spans="2:9" x14ac:dyDescent="0.2">
      <c r="E38" s="4"/>
      <c r="G38" s="4"/>
      <c r="I38" s="15"/>
    </row>
    <row r="39" spans="2:9" x14ac:dyDescent="0.2">
      <c r="E39" s="4"/>
      <c r="G39" s="4"/>
      <c r="I39" s="15"/>
    </row>
    <row r="40" spans="2:9" x14ac:dyDescent="0.2">
      <c r="E40" s="4"/>
      <c r="G40" s="4"/>
      <c r="I40" s="15"/>
    </row>
    <row r="41" spans="2:9" x14ac:dyDescent="0.2">
      <c r="E41" s="4"/>
      <c r="G41" s="4"/>
      <c r="I41" s="15"/>
    </row>
    <row r="42" spans="2:9" x14ac:dyDescent="0.2">
      <c r="E42" s="4"/>
      <c r="G42" s="4"/>
      <c r="I42" s="15"/>
    </row>
    <row r="43" spans="2:9" x14ac:dyDescent="0.2">
      <c r="I43" s="15"/>
    </row>
    <row r="47" spans="2:9" x14ac:dyDescent="0.2">
      <c r="B47" s="13"/>
    </row>
    <row r="60" spans="2:2" x14ac:dyDescent="0.2">
      <c r="B60" s="10"/>
    </row>
    <row r="61" spans="2:2" x14ac:dyDescent="0.2">
      <c r="B61" s="10"/>
    </row>
    <row r="62" spans="2:2" x14ac:dyDescent="0.2">
      <c r="B62" s="10"/>
    </row>
    <row r="74" spans="2:9" x14ac:dyDescent="0.2">
      <c r="I74" s="15"/>
    </row>
    <row r="75" spans="2:9" x14ac:dyDescent="0.2">
      <c r="I75" s="15"/>
    </row>
    <row r="76" spans="2:9" x14ac:dyDescent="0.2">
      <c r="I76" s="15"/>
    </row>
    <row r="77" spans="2:9" x14ac:dyDescent="0.2">
      <c r="I77" s="15"/>
    </row>
    <row r="78" spans="2:9" x14ac:dyDescent="0.2">
      <c r="B78" s="10"/>
      <c r="C78" s="4"/>
      <c r="D78" s="4"/>
      <c r="E78" s="4"/>
      <c r="F78" s="4"/>
      <c r="G78" s="4"/>
      <c r="H78" s="4"/>
      <c r="I78" s="15"/>
    </row>
    <row r="79" spans="2:9" x14ac:dyDescent="0.2">
      <c r="B79" s="10"/>
      <c r="C79" s="4"/>
      <c r="D79" s="4"/>
      <c r="E79" s="4"/>
      <c r="F79" s="4"/>
      <c r="G79" s="4"/>
      <c r="H79" s="4"/>
      <c r="I79" s="15"/>
    </row>
    <row r="80" spans="2:9" x14ac:dyDescent="0.2">
      <c r="B80" s="10"/>
      <c r="C80" s="4"/>
      <c r="D80" s="4"/>
      <c r="E80" s="4"/>
      <c r="F80" s="4"/>
      <c r="G80" s="4"/>
      <c r="H80" s="4"/>
      <c r="I80" s="15"/>
    </row>
    <row r="81" spans="2:9" x14ac:dyDescent="0.2">
      <c r="B81" s="10"/>
      <c r="C81" s="4"/>
      <c r="D81" s="4"/>
      <c r="E81" s="4"/>
      <c r="F81" s="4"/>
      <c r="G81" s="4"/>
      <c r="H81" s="4"/>
      <c r="I81" s="15"/>
    </row>
    <row r="82" spans="2:9" x14ac:dyDescent="0.2">
      <c r="B82" s="10"/>
      <c r="C82" s="4"/>
      <c r="D82" s="4"/>
      <c r="E82" s="4"/>
      <c r="F82" s="4"/>
      <c r="G82" s="4"/>
      <c r="H82" s="4"/>
      <c r="I82" s="15"/>
    </row>
    <row r="83" spans="2:9" x14ac:dyDescent="0.2">
      <c r="C83" s="4"/>
      <c r="D83" s="4"/>
      <c r="E83" s="4"/>
      <c r="F83" s="4"/>
      <c r="G83" s="4"/>
      <c r="H83" s="4"/>
      <c r="I83" s="15"/>
    </row>
    <row r="84" spans="2:9" x14ac:dyDescent="0.2">
      <c r="C84" s="4"/>
      <c r="D84" s="4"/>
      <c r="E84" s="4"/>
      <c r="F84" s="4"/>
      <c r="G84" s="4"/>
      <c r="H84" s="4"/>
      <c r="I84" s="15"/>
    </row>
    <row r="85" spans="2:9" x14ac:dyDescent="0.2">
      <c r="C85" s="4"/>
      <c r="D85" s="4"/>
      <c r="E85" s="4"/>
      <c r="F85" s="4"/>
      <c r="G85" s="4"/>
      <c r="H85" s="4"/>
      <c r="I85" s="15"/>
    </row>
    <row r="86" spans="2:9" x14ac:dyDescent="0.2">
      <c r="C86" s="4"/>
      <c r="D86" s="4"/>
      <c r="E86" s="4"/>
      <c r="F86" s="4"/>
      <c r="G86" s="4"/>
      <c r="H86" s="4"/>
      <c r="I86" s="15"/>
    </row>
    <row r="87" spans="2:9" x14ac:dyDescent="0.2">
      <c r="C87" s="4"/>
      <c r="D87" s="4"/>
      <c r="E87" s="4"/>
      <c r="F87" s="4"/>
      <c r="G87" s="4"/>
      <c r="H87" s="4"/>
      <c r="I87" s="15"/>
    </row>
    <row r="88" spans="2:9" x14ac:dyDescent="0.2">
      <c r="C88" s="4"/>
      <c r="D88" s="4"/>
      <c r="E88" s="4"/>
      <c r="F88" s="4"/>
      <c r="G88" s="4"/>
      <c r="H88" s="4"/>
      <c r="I88" s="15"/>
    </row>
    <row r="89" spans="2:9" ht="13.5" thickBot="1" x14ac:dyDescent="0.25">
      <c r="B89" s="3"/>
      <c r="C89" s="4"/>
      <c r="D89" s="4"/>
      <c r="E89" s="5"/>
      <c r="F89" s="5"/>
      <c r="G89" s="4"/>
      <c r="H89" s="4"/>
      <c r="I89" s="15"/>
    </row>
    <row r="90" spans="2:9" ht="13.5" thickTop="1" x14ac:dyDescent="0.2">
      <c r="B90" s="3"/>
      <c r="C90" s="6"/>
      <c r="D90" s="6"/>
      <c r="E90" s="6"/>
      <c r="F90" s="6"/>
      <c r="G90" s="6"/>
      <c r="H90" s="6"/>
    </row>
    <row r="91" spans="2:9" x14ac:dyDescent="0.2">
      <c r="E91" s="4"/>
    </row>
    <row r="92" spans="2:9" x14ac:dyDescent="0.2">
      <c r="E92" s="4"/>
      <c r="G92" s="4"/>
    </row>
    <row r="93" spans="2:9" x14ac:dyDescent="0.2">
      <c r="E93" s="4"/>
      <c r="G93" s="4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9" customWidth="1"/>
    <col min="6" max="7" width="10.5703125" bestFit="1" customWidth="1"/>
  </cols>
  <sheetData>
    <row r="4" spans="3:7" x14ac:dyDescent="0.25">
      <c r="C4" s="11" t="s">
        <v>7</v>
      </c>
    </row>
    <row r="6" spans="3:7" x14ac:dyDescent="0.25">
      <c r="C6" t="s">
        <v>10</v>
      </c>
      <c r="D6" s="9">
        <v>4650</v>
      </c>
      <c r="F6" s="9"/>
    </row>
    <row r="7" spans="3:7" x14ac:dyDescent="0.25">
      <c r="C7" t="s">
        <v>8</v>
      </c>
      <c r="D7" s="9">
        <v>-720</v>
      </c>
    </row>
    <row r="8" spans="3:7" x14ac:dyDescent="0.25">
      <c r="C8" t="s">
        <v>9</v>
      </c>
      <c r="D8" s="9">
        <v>-1250</v>
      </c>
    </row>
    <row r="10" spans="3:7" x14ac:dyDescent="0.25">
      <c r="C10" t="s">
        <v>7</v>
      </c>
      <c r="D10" s="9">
        <f>SUM(D6:D9)</f>
        <v>2680</v>
      </c>
      <c r="G10" s="9"/>
    </row>
    <row r="14" spans="3:7" x14ac:dyDescent="0.25">
      <c r="G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2016-12-01T17:12:57Z</cp:lastPrinted>
  <dcterms:created xsi:type="dcterms:W3CDTF">2016-10-06T22:22:22Z</dcterms:created>
  <dcterms:modified xsi:type="dcterms:W3CDTF">2016-12-22T19:53:41Z</dcterms:modified>
</cp:coreProperties>
</file>