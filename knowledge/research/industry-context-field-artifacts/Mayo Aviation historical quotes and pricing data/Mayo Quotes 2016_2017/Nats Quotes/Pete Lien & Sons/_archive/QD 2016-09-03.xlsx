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Pete Lien &amp; Sons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I8" i="1" l="1"/>
  <c r="G5" i="1"/>
  <c r="I5" i="1" s="1"/>
  <c r="G6" i="1"/>
  <c r="G7" i="1"/>
  <c r="I7" i="1" s="1"/>
  <c r="G8" i="1"/>
  <c r="G9" i="1"/>
  <c r="G10" i="1"/>
  <c r="I10" i="1" s="1"/>
  <c r="G11" i="1"/>
  <c r="I11" i="1" s="1"/>
  <c r="G12" i="1"/>
  <c r="I12" i="1" s="1"/>
  <c r="G13" i="1"/>
  <c r="I13" i="1" s="1"/>
  <c r="G4" i="1"/>
  <c r="I4" i="1" s="1"/>
  <c r="C19" i="1"/>
  <c r="E19" i="1"/>
  <c r="G19" i="1" l="1"/>
  <c r="I19" i="1" s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$7650.00 if required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$6,599.00 If Required</t>
        </r>
      </text>
    </comment>
  </commentList>
</comments>
</file>

<file path=xl/sharedStrings.xml><?xml version="1.0" encoding="utf-8"?>
<sst xmlns="http://schemas.openxmlformats.org/spreadsheetml/2006/main" count="16" uniqueCount="16">
  <si>
    <t>Supplemental Type Certificate(s)</t>
  </si>
  <si>
    <t>New TDR-94D Transponders</t>
  </si>
  <si>
    <t>Upgrade RTU 42XX</t>
  </si>
  <si>
    <t>Upgrade GPS-4000S GPS (1)</t>
  </si>
  <si>
    <t>Sensor Systems GPS Antenna</t>
  </si>
  <si>
    <t>New IOC-3100 Concentrator (2)</t>
  </si>
  <si>
    <t>Installation 80 Hrs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</si>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</sst>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16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I19"/>
  <sheetViews>
    <sheetView tabSelected="1" workbookViewId="0">
      <selection activeCell="G22" sqref="G22"/>
    </sheetView>
  </sheetViews>
  <sheetFormatPr defaultRowHeight="15" x14ac:dyDescent="0.25"/>
  <cols>
    <col min="2" max="2" width="31.42578125" customWidth="1"/>
    <col min="3" max="3" width="22.42578125" style="6" customWidth="1"/>
    <col min="4" max="4" width="2.140625" style="6" customWidth="1"/>
    <col min="5" max="5" width="20.5703125" style="6" customWidth="1"/>
    <col min="6" max="6" width="1.7109375" style="6" customWidth="1"/>
    <col min="7" max="7" width="18.85546875" style="6" customWidth="1"/>
    <col min="8" max="8" width="2" style="6" customWidth="1"/>
    <col min="9" max="9" width="9.140625" style="6"/>
  </cols>
  <sheetData>
    <row r="3" spans="2:9" x14ac:dyDescent="0.25">
      <c r="B3" s="1"/>
      <c r="C3" s="11" t="s">
        <v>11</v>
      </c>
      <c r="D3" s="11"/>
      <c r="E3" s="12" t="s">
        <v>12</v>
      </c>
      <c r="F3" s="12"/>
      <c r="G3" s="11" t="s">
        <v>13</v>
      </c>
      <c r="H3" s="11"/>
      <c r="I3" s="11" t="s">
        <v>14</v>
      </c>
    </row>
    <row r="4" spans="2:9" x14ac:dyDescent="0.25">
      <c r="B4" s="2" t="s">
        <v>0</v>
      </c>
      <c r="C4" s="5">
        <v>15000</v>
      </c>
      <c r="D4" s="5"/>
      <c r="E4" s="5">
        <v>15000</v>
      </c>
      <c r="F4" s="5"/>
      <c r="G4" s="9">
        <f>E4-C4</f>
        <v>0</v>
      </c>
      <c r="H4" s="9"/>
      <c r="I4" s="10">
        <f>G4/E4</f>
        <v>0</v>
      </c>
    </row>
    <row r="5" spans="2:9" x14ac:dyDescent="0.25">
      <c r="B5" s="3" t="s">
        <v>1</v>
      </c>
      <c r="C5" s="5">
        <v>32280</v>
      </c>
      <c r="D5" s="5"/>
      <c r="E5" s="5">
        <v>37961</v>
      </c>
      <c r="F5" s="5"/>
      <c r="G5" s="9">
        <f t="shared" ref="G5:G14" si="0">E5-C5</f>
        <v>5681</v>
      </c>
      <c r="H5" s="9"/>
      <c r="I5" s="10">
        <f>G5/E5</f>
        <v>0.14965359184426122</v>
      </c>
    </row>
    <row r="6" spans="2:9" x14ac:dyDescent="0.25">
      <c r="B6" s="3" t="s">
        <v>2</v>
      </c>
      <c r="C6" s="5">
        <v>0</v>
      </c>
      <c r="D6" s="5"/>
      <c r="E6" s="5">
        <v>0</v>
      </c>
      <c r="F6" s="5"/>
      <c r="G6" s="9">
        <f t="shared" si="0"/>
        <v>0</v>
      </c>
      <c r="H6" s="9"/>
      <c r="I6" s="10"/>
    </row>
    <row r="7" spans="2:9" x14ac:dyDescent="0.25">
      <c r="B7" s="3" t="s">
        <v>3</v>
      </c>
      <c r="C7" s="5">
        <v>14396</v>
      </c>
      <c r="D7" s="5"/>
      <c r="E7" s="5">
        <v>18434</v>
      </c>
      <c r="F7" s="5"/>
      <c r="G7" s="9">
        <f t="shared" si="0"/>
        <v>4038</v>
      </c>
      <c r="H7" s="9"/>
      <c r="I7" s="10">
        <f>G7/E7</f>
        <v>0.21905175219702724</v>
      </c>
    </row>
    <row r="8" spans="2:9" x14ac:dyDescent="0.25">
      <c r="B8" s="3" t="s">
        <v>4</v>
      </c>
      <c r="C8" s="5">
        <v>800</v>
      </c>
      <c r="D8" s="5"/>
      <c r="E8" s="5">
        <v>1000</v>
      </c>
      <c r="F8" s="5"/>
      <c r="G8" s="9">
        <f t="shared" si="0"/>
        <v>200</v>
      </c>
      <c r="H8" s="9"/>
      <c r="I8" s="10">
        <f>G8/E8</f>
        <v>0.2</v>
      </c>
    </row>
    <row r="9" spans="2:9" x14ac:dyDescent="0.25">
      <c r="B9" s="3" t="s">
        <v>5</v>
      </c>
      <c r="C9" s="5">
        <v>0</v>
      </c>
      <c r="D9" s="5"/>
      <c r="E9" s="5">
        <v>0</v>
      </c>
      <c r="F9" s="5"/>
      <c r="G9" s="9">
        <f t="shared" si="0"/>
        <v>0</v>
      </c>
      <c r="H9" s="9"/>
      <c r="I9" s="10"/>
    </row>
    <row r="10" spans="2:9" x14ac:dyDescent="0.25">
      <c r="B10" s="3" t="s">
        <v>6</v>
      </c>
      <c r="C10" s="5">
        <v>3600</v>
      </c>
      <c r="D10" s="5"/>
      <c r="E10" s="5">
        <v>6800</v>
      </c>
      <c r="F10" s="5"/>
      <c r="G10" s="9">
        <f t="shared" si="0"/>
        <v>3200</v>
      </c>
      <c r="H10" s="9"/>
      <c r="I10" s="10">
        <f>G10/E10</f>
        <v>0.47058823529411764</v>
      </c>
    </row>
    <row r="11" spans="2:9" x14ac:dyDescent="0.25">
      <c r="B11" s="3" t="s">
        <v>7</v>
      </c>
      <c r="C11" s="5">
        <v>125</v>
      </c>
      <c r="D11" s="5"/>
      <c r="E11" s="5">
        <v>250</v>
      </c>
      <c r="F11" s="5"/>
      <c r="G11" s="9">
        <f t="shared" si="0"/>
        <v>125</v>
      </c>
      <c r="H11" s="9"/>
      <c r="I11" s="10">
        <f>G11/E11</f>
        <v>0.5</v>
      </c>
    </row>
    <row r="12" spans="2:9" x14ac:dyDescent="0.25">
      <c r="B12" s="3" t="s">
        <v>8</v>
      </c>
      <c r="C12" s="5">
        <v>500</v>
      </c>
      <c r="D12" s="5"/>
      <c r="E12" s="5">
        <v>850</v>
      </c>
      <c r="F12" s="5"/>
      <c r="G12" s="9">
        <f t="shared" si="0"/>
        <v>350</v>
      </c>
      <c r="H12" s="9"/>
      <c r="I12" s="10">
        <f>G12/E12</f>
        <v>0.41176470588235292</v>
      </c>
    </row>
    <row r="13" spans="2:9" x14ac:dyDescent="0.25">
      <c r="B13" s="3" t="s">
        <v>9</v>
      </c>
      <c r="C13" s="5">
        <v>1800</v>
      </c>
      <c r="D13" s="5"/>
      <c r="E13" s="5">
        <v>2000</v>
      </c>
      <c r="F13" s="5"/>
      <c r="G13" s="9">
        <f t="shared" si="0"/>
        <v>200</v>
      </c>
      <c r="H13" s="9"/>
      <c r="I13" s="10">
        <f>G13/E13</f>
        <v>0.1</v>
      </c>
    </row>
    <row r="14" spans="2:9" x14ac:dyDescent="0.25">
      <c r="B14" s="3" t="s">
        <v>15</v>
      </c>
      <c r="C14" s="5">
        <v>-900</v>
      </c>
      <c r="D14" s="5"/>
      <c r="E14" s="5">
        <v>0</v>
      </c>
      <c r="F14" s="5"/>
      <c r="G14" s="9">
        <f t="shared" si="0"/>
        <v>900</v>
      </c>
      <c r="H14" s="9"/>
      <c r="I14" s="10"/>
    </row>
    <row r="15" spans="2:9" x14ac:dyDescent="0.25">
      <c r="B15" s="3"/>
      <c r="C15" s="5"/>
      <c r="D15" s="5"/>
      <c r="E15" s="5"/>
      <c r="F15" s="5"/>
      <c r="G15" s="9"/>
      <c r="H15" s="9"/>
      <c r="I15" s="10"/>
    </row>
    <row r="16" spans="2:9" x14ac:dyDescent="0.25">
      <c r="B16" s="3"/>
      <c r="C16" s="5"/>
      <c r="D16" s="5"/>
      <c r="E16" s="5"/>
      <c r="F16" s="5"/>
      <c r="G16" s="9"/>
      <c r="H16" s="9"/>
      <c r="I16" s="10"/>
    </row>
    <row r="17" spans="2:9" x14ac:dyDescent="0.25">
      <c r="B17" s="4"/>
      <c r="C17" s="5"/>
      <c r="D17" s="5"/>
      <c r="E17" s="7"/>
      <c r="F17" s="7"/>
      <c r="G17" s="9"/>
      <c r="H17" s="9"/>
      <c r="I17" s="10"/>
    </row>
    <row r="18" spans="2:9" ht="15.75" thickBot="1" x14ac:dyDescent="0.3">
      <c r="B18" s="4"/>
      <c r="C18" s="5"/>
      <c r="D18" s="5"/>
      <c r="E18" s="7"/>
      <c r="F18" s="7"/>
      <c r="G18" s="9"/>
      <c r="H18" s="9"/>
      <c r="I18" s="10"/>
    </row>
    <row r="19" spans="2:9" ht="15.75" thickTop="1" x14ac:dyDescent="0.25">
      <c r="B19" s="4" t="s">
        <v>10</v>
      </c>
      <c r="C19" s="8">
        <f>SUM(C4:C18)</f>
        <v>67601</v>
      </c>
      <c r="D19" s="5"/>
      <c r="E19" s="8">
        <f>SUM(E4:E18)</f>
        <v>82295</v>
      </c>
      <c r="F19" s="7"/>
      <c r="G19" s="8">
        <f>SUM(G4:G18)</f>
        <v>14694</v>
      </c>
      <c r="H19" s="7"/>
      <c r="I19" s="10">
        <f>G19/E19</f>
        <v>0.17855276748283613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2016-10-06T22:34:29Z</dcterms:modified>
</cp:coreProperties>
</file>