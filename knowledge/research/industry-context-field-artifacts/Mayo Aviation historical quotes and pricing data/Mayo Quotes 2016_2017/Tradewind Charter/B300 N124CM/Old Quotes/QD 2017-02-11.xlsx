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M:\Maintenance\Mayo Quotes 2016_2017\Tradewind Charter\B300 N124CM\"/>
    </mc:Choice>
  </mc:AlternateContent>
  <bookViews>
    <workbookView xWindow="0" yWindow="0" windowWidth="20496" windowHeight="7536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G10" i="1"/>
  <c r="I10" i="1" s="1"/>
  <c r="E9" i="1"/>
  <c r="G9" i="1" s="1"/>
  <c r="I9" i="1" s="1"/>
  <c r="L8" i="1"/>
  <c r="O7" i="1"/>
  <c r="O8" i="1" s="1"/>
  <c r="E6" i="1"/>
  <c r="G6" i="1" s="1"/>
  <c r="I6" i="1" s="1"/>
  <c r="E7" i="1"/>
  <c r="G7" i="1" s="1"/>
  <c r="I7" i="1" s="1"/>
  <c r="E8" i="1"/>
  <c r="G8" i="1" s="1"/>
  <c r="I8" i="1" s="1"/>
  <c r="E5" i="1"/>
  <c r="G15" i="1" l="1"/>
  <c r="I15" i="1" s="1"/>
  <c r="G16" i="1"/>
  <c r="I16" i="1" s="1"/>
  <c r="E15" i="1"/>
  <c r="I5" i="1" l="1"/>
  <c r="G5" i="1"/>
  <c r="E12" i="1" l="1"/>
  <c r="G12" i="1" s="1"/>
  <c r="I12" i="1" s="1"/>
  <c r="F6" i="2" l="1"/>
  <c r="D10" i="2" l="1"/>
  <c r="C22" i="1" l="1"/>
  <c r="E11" i="1" l="1"/>
  <c r="G11" i="1" s="1"/>
  <c r="I11" i="1" s="1"/>
  <c r="E17" i="1"/>
  <c r="G17" i="1" s="1"/>
  <c r="E13" i="1" l="1"/>
  <c r="G13" i="1" s="1"/>
  <c r="I13" i="1" s="1"/>
  <c r="E18" i="1"/>
  <c r="E22" i="1" l="1"/>
  <c r="E24" i="1" s="1"/>
  <c r="G24" i="1" s="1"/>
  <c r="I24" i="1" s="1"/>
  <c r="G19" i="1"/>
  <c r="G14" i="1" l="1"/>
  <c r="I14" i="1" s="1"/>
  <c r="I17" i="1"/>
  <c r="G18" i="1"/>
  <c r="I18" i="1" l="1"/>
  <c r="G22" i="1"/>
  <c r="I22" i="1" s="1"/>
</calcChain>
</file>

<file path=xl/sharedStrings.xml><?xml version="1.0" encoding="utf-8"?>
<sst xmlns="http://schemas.openxmlformats.org/spreadsheetml/2006/main" count="28" uniqueCount="28">
  <si>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</si>
  <si>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</si>
  <si>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</si>
  <si>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</si>
  <si>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</si>
  <si>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</si>
  <si>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</si>
  <si>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</si>
  <si>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</si>
  <si>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</si>
  <si>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</si>
  <si>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</si>
  <si>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</si>
  <si>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</si>
  <si>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</si>
  <si>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</si>
  <si>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</si>
  <si>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</si>
  <si>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</si>
  <si>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</si>
  <si>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GAD 42 Adapter</t>
  </si>
  <si>
    <t>GTN 725 black GPS receiver w/rack, backplate, conn kit, config module</t>
  </si>
  <si>
    <t>*Americas Database (NavData, Terrain, Obstacle, FliteCharts, SafeTaxi)</t>
  </si>
  <si>
    <t>*Third Party Radar (ARINC 708) Enablement SD Datacard</t>
  </si>
  <si>
    <t>*TAWS-B Enablement</t>
  </si>
  <si>
    <t>GA 35 GPS/WAAS antenna</t>
  </si>
  <si>
    <t>EL Panel</t>
  </si>
  <si>
    <t>Installation 225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</si>
</sst>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24"/>
  <sheetViews>
    <sheetView tabSelected="1" topLeftCell="A3" workbookViewId="0">
      <selection activeCell="J18" sqref="J18"/>
    </sheetView>
  </sheetViews>
  <sheetFormatPr defaultRowHeight="14.4" x14ac:dyDescent="0.3"/>
  <cols>
    <col min="1" max="1" width="14.88671875" customWidth="1"/>
    <col min="2" max="2" width="39.44140625" customWidth="1"/>
    <col min="3" max="3" width="22.44140625" style="5" customWidth="1"/>
    <col min="4" max="4" width="2.109375" style="5" customWidth="1"/>
    <col min="5" max="5" width="20.5546875" style="5" customWidth="1"/>
    <col min="6" max="6" width="1.6640625" style="5" customWidth="1"/>
    <col min="7" max="7" width="18.88671875" style="5" customWidth="1"/>
    <col min="8" max="8" width="2" style="5" customWidth="1"/>
    <col min="9" max="9" width="9.109375" style="12"/>
    <col min="11" max="11" width="9.6640625" customWidth="1"/>
  </cols>
  <sheetData>
    <row r="3" spans="1:16" x14ac:dyDescent="0.3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1:16" x14ac:dyDescent="0.3">
      <c r="B4" s="1"/>
      <c r="C4" s="9"/>
      <c r="D4" s="9"/>
      <c r="E4" s="10"/>
      <c r="F4" s="10"/>
      <c r="G4" s="9"/>
      <c r="H4" s="9"/>
      <c r="I4" s="9"/>
    </row>
    <row r="5" spans="1:16" x14ac:dyDescent="0.3">
      <c r="B5" s="14" t="s">
        <v>21</v>
      </c>
      <c r="C5" s="4">
        <v>10495</v>
      </c>
      <c r="D5" s="4"/>
      <c r="E5" s="4">
        <f>C5*1.176</f>
        <v>12342.119999999999</v>
      </c>
      <c r="F5" s="4"/>
      <c r="G5" s="8">
        <f>E5-C5</f>
        <v>1847.119999999999</v>
      </c>
      <c r="H5" s="8"/>
      <c r="I5" s="11">
        <f t="shared" ref="I5:I16" si="0">G5/E5</f>
        <v>0.14965986394557815</v>
      </c>
      <c r="L5">
        <v>6</v>
      </c>
      <c r="M5" t="s">
        <v>9</v>
      </c>
      <c r="O5">
        <v>225</v>
      </c>
      <c r="P5" t="s">
        <v>16</v>
      </c>
    </row>
    <row r="6" spans="1:16" x14ac:dyDescent="0.3">
      <c r="B6" s="14" t="s">
        <v>22</v>
      </c>
      <c r="C6" s="4">
        <v>418</v>
      </c>
      <c r="D6" s="4"/>
      <c r="E6" s="4">
        <f t="shared" ref="E6:E10" si="1">C6*1.176</f>
        <v>491.56799999999998</v>
      </c>
      <c r="F6" s="4"/>
      <c r="G6" s="8">
        <f t="shared" ref="G6:G10" si="2">E6-C6</f>
        <v>73.567999999999984</v>
      </c>
      <c r="H6" s="8"/>
      <c r="I6" s="11">
        <f t="shared" ref="I6:I10" si="3">G6/E6</f>
        <v>0.1496598639455782</v>
      </c>
      <c r="L6">
        <v>4</v>
      </c>
      <c r="O6">
        <v>45</v>
      </c>
    </row>
    <row r="7" spans="1:16" x14ac:dyDescent="0.3">
      <c r="A7">
        <v>5997</v>
      </c>
      <c r="B7" s="14" t="s">
        <v>24</v>
      </c>
      <c r="C7" s="4">
        <v>0</v>
      </c>
      <c r="D7" s="4"/>
      <c r="E7" s="4">
        <f t="shared" si="1"/>
        <v>0</v>
      </c>
      <c r="F7" s="4"/>
      <c r="G7" s="8">
        <f t="shared" si="2"/>
        <v>0</v>
      </c>
      <c r="H7" s="8"/>
      <c r="I7" s="11" t="e">
        <f t="shared" si="3"/>
        <v>#DIV/0!</v>
      </c>
      <c r="L7">
        <v>85</v>
      </c>
      <c r="O7">
        <f>O5*O6</f>
        <v>10125</v>
      </c>
    </row>
    <row r="8" spans="1:16" x14ac:dyDescent="0.3">
      <c r="B8" s="14" t="s">
        <v>23</v>
      </c>
      <c r="C8" s="4">
        <v>2997</v>
      </c>
      <c r="D8" s="4"/>
      <c r="E8" s="4">
        <f t="shared" si="1"/>
        <v>3524.4719999999998</v>
      </c>
      <c r="F8" s="4"/>
      <c r="G8" s="8">
        <f t="shared" si="2"/>
        <v>527.47199999999975</v>
      </c>
      <c r="H8" s="8"/>
      <c r="I8" s="11">
        <f t="shared" si="3"/>
        <v>0.14965986394557818</v>
      </c>
      <c r="L8">
        <f>L5*L6*L7</f>
        <v>2040</v>
      </c>
      <c r="O8">
        <f>O7*0.05</f>
        <v>506.25</v>
      </c>
    </row>
    <row r="9" spans="1:16" x14ac:dyDescent="0.3">
      <c r="B9" s="14" t="s">
        <v>25</v>
      </c>
      <c r="C9" s="4">
        <v>264</v>
      </c>
      <c r="D9" s="4"/>
      <c r="E9" s="4">
        <f t="shared" si="1"/>
        <v>310.464</v>
      </c>
      <c r="F9" s="4"/>
      <c r="G9" s="8">
        <f t="shared" si="2"/>
        <v>46.463999999999999</v>
      </c>
      <c r="H9" s="8"/>
      <c r="I9" s="11">
        <f t="shared" si="3"/>
        <v>0.14965986394557823</v>
      </c>
    </row>
    <row r="10" spans="1:16" x14ac:dyDescent="0.3">
      <c r="B10" s="14" t="s">
        <v>26</v>
      </c>
      <c r="C10" s="4">
        <v>1200</v>
      </c>
      <c r="D10" s="4"/>
      <c r="E10" s="4">
        <f t="shared" si="1"/>
        <v>1411.1999999999998</v>
      </c>
      <c r="F10" s="4"/>
      <c r="G10" s="8">
        <f t="shared" si="2"/>
        <v>211.19999999999982</v>
      </c>
      <c r="H10" s="8"/>
      <c r="I10" s="11">
        <f t="shared" si="3"/>
        <v>0.14965986394557812</v>
      </c>
    </row>
    <row r="11" spans="1:16" x14ac:dyDescent="0.3">
      <c r="B11" s="2" t="s">
        <v>10</v>
      </c>
      <c r="C11" s="4">
        <v>420</v>
      </c>
      <c r="D11" s="4"/>
      <c r="E11" s="4">
        <f>C11*1.176</f>
        <v>493.91999999999996</v>
      </c>
      <c r="F11" s="4"/>
      <c r="G11" s="8">
        <f>E11-C11</f>
        <v>73.919999999999959</v>
      </c>
      <c r="H11" s="8"/>
      <c r="I11" s="11">
        <f t="shared" si="0"/>
        <v>0.14965986394557815</v>
      </c>
      <c r="K11" s="13"/>
    </row>
    <row r="12" spans="1:16" x14ac:dyDescent="0.3">
      <c r="B12" s="2" t="s">
        <v>11</v>
      </c>
      <c r="C12" s="4">
        <v>3746</v>
      </c>
      <c r="D12" s="4"/>
      <c r="E12" s="4">
        <f>C12*1.176</f>
        <v>4405.2959999999994</v>
      </c>
      <c r="F12" s="4"/>
      <c r="G12" s="8">
        <f>E12-C12</f>
        <v>659.29599999999937</v>
      </c>
      <c r="H12" s="8"/>
      <c r="I12" s="11">
        <f t="shared" si="0"/>
        <v>0.14965986394557812</v>
      </c>
    </row>
    <row r="13" spans="1:16" x14ac:dyDescent="0.3">
      <c r="B13" s="2" t="s">
        <v>12</v>
      </c>
      <c r="C13" s="4">
        <v>2246</v>
      </c>
      <c r="D13" s="4"/>
      <c r="E13" s="4">
        <f t="shared" ref="E13:E18" si="4">C13*1.176</f>
        <v>2641.2959999999998</v>
      </c>
      <c r="F13" s="4"/>
      <c r="G13" s="8">
        <f>E13-C13</f>
        <v>395.29599999999982</v>
      </c>
      <c r="H13" s="8"/>
      <c r="I13" s="11">
        <f t="shared" si="0"/>
        <v>0.14965986394557818</v>
      </c>
    </row>
    <row r="14" spans="1:16" x14ac:dyDescent="0.3">
      <c r="B14" s="2" t="s">
        <v>27</v>
      </c>
      <c r="C14" s="4">
        <v>10125</v>
      </c>
      <c r="D14" s="4"/>
      <c r="E14" s="4">
        <v>19125</v>
      </c>
      <c r="F14" s="4"/>
      <c r="G14" s="8">
        <f t="shared" ref="G14:G19" si="5">E14-C14</f>
        <v>9000</v>
      </c>
      <c r="H14" s="8"/>
      <c r="I14" s="11">
        <f t="shared" si="0"/>
        <v>0.47058823529411764</v>
      </c>
    </row>
    <row r="15" spans="1:16" x14ac:dyDescent="0.3">
      <c r="B15" s="2" t="s">
        <v>20</v>
      </c>
      <c r="C15" s="4">
        <v>2621</v>
      </c>
      <c r="D15" s="4"/>
      <c r="E15" s="4">
        <f>C15*1.176</f>
        <v>3082.2959999999998</v>
      </c>
      <c r="F15" s="4"/>
      <c r="G15" s="8">
        <f t="shared" si="5"/>
        <v>461.29599999999982</v>
      </c>
      <c r="H15" s="8"/>
      <c r="I15" s="11">
        <f t="shared" si="0"/>
        <v>0.14965986394557818</v>
      </c>
    </row>
    <row r="16" spans="1:16" x14ac:dyDescent="0.3">
      <c r="B16" s="2" t="s">
        <v>0</v>
      </c>
      <c r="C16" s="4">
        <v>250</v>
      </c>
      <c r="D16" s="4"/>
      <c r="E16" s="4">
        <v>250</v>
      </c>
      <c r="F16" s="4"/>
      <c r="G16" s="8">
        <f t="shared" si="5"/>
        <v>0</v>
      </c>
      <c r="H16" s="8"/>
      <c r="I16" s="11">
        <f t="shared" si="0"/>
        <v>0</v>
      </c>
    </row>
    <row r="17" spans="2:9" x14ac:dyDescent="0.3">
      <c r="B17" s="2" t="s">
        <v>1</v>
      </c>
      <c r="C17" s="4">
        <v>800</v>
      </c>
      <c r="D17" s="4"/>
      <c r="E17" s="4">
        <f t="shared" si="4"/>
        <v>940.8</v>
      </c>
      <c r="F17" s="4"/>
      <c r="G17" s="8">
        <f t="shared" si="5"/>
        <v>140.79999999999995</v>
      </c>
      <c r="H17" s="8"/>
      <c r="I17" s="11">
        <f>G17/E17</f>
        <v>0.1496598639455782</v>
      </c>
    </row>
    <row r="18" spans="2:9" x14ac:dyDescent="0.3">
      <c r="B18" s="2" t="s">
        <v>2</v>
      </c>
      <c r="C18" s="4">
        <v>2200</v>
      </c>
      <c r="D18" s="4"/>
      <c r="E18" s="4">
        <f t="shared" si="4"/>
        <v>2587.1999999999998</v>
      </c>
      <c r="F18" s="4"/>
      <c r="G18" s="8">
        <f t="shared" si="5"/>
        <v>387.19999999999982</v>
      </c>
      <c r="H18" s="8"/>
      <c r="I18" s="11">
        <f>G18/E18</f>
        <v>0.14965986394557818</v>
      </c>
    </row>
    <row r="19" spans="2:9" x14ac:dyDescent="0.3">
      <c r="B19" s="2" t="s">
        <v>8</v>
      </c>
      <c r="C19" s="4">
        <v>0</v>
      </c>
      <c r="D19" s="4"/>
      <c r="E19" s="4"/>
      <c r="F19" s="4"/>
      <c r="G19" s="8">
        <f t="shared" si="5"/>
        <v>0</v>
      </c>
      <c r="H19" s="8"/>
      <c r="I19" s="11"/>
    </row>
    <row r="20" spans="2:9" x14ac:dyDescent="0.3">
      <c r="B20" s="2"/>
      <c r="C20" s="4"/>
      <c r="D20" s="4"/>
      <c r="E20" s="4"/>
      <c r="F20" s="4"/>
      <c r="G20" s="8"/>
      <c r="H20" s="8"/>
      <c r="I20" s="11"/>
    </row>
    <row r="21" spans="2:9" ht="15" thickBot="1" x14ac:dyDescent="0.35">
      <c r="B21" s="3"/>
      <c r="C21" s="4"/>
      <c r="D21" s="4"/>
      <c r="E21" s="6"/>
      <c r="F21" s="6"/>
      <c r="G21" s="8"/>
      <c r="H21" s="8"/>
      <c r="I21" s="11"/>
    </row>
    <row r="22" spans="2:9" ht="15" thickTop="1" x14ac:dyDescent="0.3">
      <c r="B22" s="3" t="s">
        <v>3</v>
      </c>
      <c r="C22" s="7">
        <f>SUM(C5:C21)</f>
        <v>37782</v>
      </c>
      <c r="D22" s="4"/>
      <c r="E22" s="7">
        <f>SUM(E5:E21)</f>
        <v>51605.631999999998</v>
      </c>
      <c r="F22" s="6"/>
      <c r="G22" s="7">
        <f>SUM(G5:G21)</f>
        <v>13823.631999999998</v>
      </c>
      <c r="H22" s="6"/>
      <c r="I22" s="11">
        <f>G22/E22</f>
        <v>0.26787060761120024</v>
      </c>
    </row>
    <row r="23" spans="2:9" x14ac:dyDescent="0.3">
      <c r="B23" s="3"/>
      <c r="C23" s="6"/>
      <c r="D23" s="4"/>
      <c r="E23" s="6">
        <v>-1250</v>
      </c>
      <c r="F23" s="6"/>
      <c r="G23" s="6"/>
      <c r="H23" s="6"/>
      <c r="I23" s="11"/>
    </row>
    <row r="24" spans="2:9" x14ac:dyDescent="0.3">
      <c r="B24" s="3"/>
      <c r="C24" s="6"/>
      <c r="D24" s="4"/>
      <c r="E24" s="6">
        <f>E22+E23</f>
        <v>50355.631999999998</v>
      </c>
      <c r="F24" s="6"/>
      <c r="G24" s="6">
        <f>E24-C22</f>
        <v>12573.631999999998</v>
      </c>
      <c r="H24" s="6"/>
      <c r="I24" s="11">
        <f t="shared" ref="I24" si="6">G24/E24</f>
        <v>0.24969663770678122</v>
      </c>
    </row>
  </sheetData>
  <pageMargins left="0" right="0" top="0" bottom="0" header="0" footer="0"/>
  <pageSetup scale="69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4.4" x14ac:dyDescent="0.3"/>
  <cols>
    <col min="3" max="3" width="30.109375" customWidth="1"/>
    <col min="4" max="4" width="16" style="13" customWidth="1"/>
    <col min="6" max="7" width="10.5546875" bestFit="1" customWidth="1"/>
  </cols>
  <sheetData>
    <row r="4" spans="3:7" x14ac:dyDescent="0.3">
      <c r="C4" s="15" t="s">
        <v>13</v>
      </c>
    </row>
    <row r="6" spans="3:7" x14ac:dyDescent="0.3">
      <c r="C6" t="s">
        <v>19</v>
      </c>
      <c r="D6" s="13">
        <v>2850</v>
      </c>
      <c r="F6" s="13">
        <f>D6*0.4</f>
        <v>1140</v>
      </c>
    </row>
    <row r="7" spans="3:7" x14ac:dyDescent="0.3">
      <c r="C7" t="s">
        <v>14</v>
      </c>
      <c r="D7" s="13">
        <v>-720</v>
      </c>
    </row>
    <row r="8" spans="3:7" x14ac:dyDescent="0.3">
      <c r="C8" t="s">
        <v>15</v>
      </c>
      <c r="D8" s="13">
        <v>-712</v>
      </c>
    </row>
    <row r="9" spans="3:7" x14ac:dyDescent="0.3">
      <c r="C9" t="s">
        <v>18</v>
      </c>
      <c r="D9" s="13">
        <v>-500</v>
      </c>
    </row>
    <row r="10" spans="3:7" x14ac:dyDescent="0.3">
      <c r="C10" t="s">
        <v>17</v>
      </c>
      <c r="D10" s="13">
        <f>SUM(D6:D9)</f>
        <v>918</v>
      </c>
      <c r="G10" s="13"/>
    </row>
    <row r="14" spans="3:7" x14ac:dyDescent="0.3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James Bohart</cp:lastModifiedBy>
  <cp:lastPrinted>2017-07-21T12:59:15Z</cp:lastPrinted>
  <dcterms:created xsi:type="dcterms:W3CDTF">2016-10-06T22:22:22Z</dcterms:created>
  <dcterms:modified xsi:type="dcterms:W3CDTF">2017-07-21T12:59:18Z</dcterms:modified>
</cp:coreProperties>
</file>