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M:\Maintenance\Mayo Quotes 2016_2017\Tradewind Charter\B200 N222UR\"/>
    </mc:Choice>
  </mc:AlternateContent>
  <bookViews>
    <workbookView xWindow="0" yWindow="0" windowWidth="20496" windowHeight="7536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  <c r="I11" i="1"/>
  <c r="G10" i="1"/>
  <c r="G11" i="1"/>
  <c r="G12" i="1"/>
  <c r="E10" i="1"/>
  <c r="I5" i="1" l="1"/>
  <c r="I6" i="1"/>
  <c r="I7" i="1"/>
  <c r="G5" i="1"/>
  <c r="E7" i="1" l="1"/>
  <c r="G7" i="1" s="1"/>
  <c r="F6" i="2" l="1"/>
  <c r="D10" i="2" l="1"/>
  <c r="C17" i="1" l="1"/>
  <c r="E6" i="1" l="1"/>
  <c r="G6" i="1" s="1"/>
  <c r="E12" i="1"/>
  <c r="O8" i="1" l="1"/>
  <c r="O9" i="1" s="1"/>
  <c r="E8" i="1"/>
  <c r="G8" i="1" s="1"/>
  <c r="I8" i="1" s="1"/>
  <c r="E13" i="1"/>
  <c r="L9" i="1"/>
  <c r="E17" i="1" l="1"/>
  <c r="E19" i="1" s="1"/>
  <c r="G19" i="1" s="1"/>
  <c r="I19" i="1" s="1"/>
  <c r="G14" i="1"/>
  <c r="G9" i="1" l="1"/>
  <c r="I12" i="1"/>
  <c r="G13" i="1"/>
  <c r="I13" i="1" l="1"/>
  <c r="G17" i="1"/>
  <c r="I17" i="1" s="1"/>
</calcChain>
</file>

<file path=xl/sharedStrings.xml><?xml version="1.0" encoding="utf-8"?>
<sst xmlns="http://schemas.openxmlformats.org/spreadsheetml/2006/main" count="23" uniqueCount="23">
  <si>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</si>
  <si>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</si>
  <si>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</si>
  <si>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</si>
  <si>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</si>
  <si>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</si>
  <si>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</si>
  <si>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</si>
  <si>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</si>
  <si>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</si>
  <si>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</si>
  <si>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GTX 345R Transponder</t>
  </si>
  <si>
    <t>GTX 335R Transponder</t>
  </si>
  <si>
    <t>Trade In</t>
  </si>
  <si>
    <t>less Flat Rate Cert</t>
  </si>
  <si>
    <t>less 25%</t>
  </si>
  <si>
    <t>Hours</t>
  </si>
  <si>
    <t>Trade In Value</t>
  </si>
  <si>
    <t>Less Profit</t>
  </si>
  <si>
    <t>Garmin 400 GPS (ILS Price)</t>
  </si>
  <si>
    <t>Garmin GTN-625</t>
  </si>
  <si>
    <t>Installation 180 Hrs</t>
  </si>
  <si>
    <t>GAD 42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</si>
</sst>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19"/>
  <sheetViews>
    <sheetView tabSelected="1" workbookViewId="0">
      <selection activeCell="C9" sqref="C9"/>
    </sheetView>
  </sheetViews>
  <sheetFormatPr defaultRowHeight="14.4" x14ac:dyDescent="0.3"/>
  <cols>
    <col min="2" max="2" width="31.44140625" customWidth="1"/>
    <col min="3" max="3" width="22.44140625" style="5" customWidth="1"/>
    <col min="4" max="4" width="2.109375" style="5" customWidth="1"/>
    <col min="5" max="5" width="20.5546875" style="5" customWidth="1"/>
    <col min="6" max="6" width="1.6640625" style="5" customWidth="1"/>
    <col min="7" max="7" width="18.88671875" style="5" customWidth="1"/>
    <col min="8" max="8" width="2" style="5" customWidth="1"/>
    <col min="9" max="9" width="9.109375" style="12"/>
    <col min="11" max="11" width="9.6640625" customWidth="1"/>
  </cols>
  <sheetData>
    <row r="3" spans="2:16" x14ac:dyDescent="0.3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6" x14ac:dyDescent="0.3">
      <c r="B4" s="1"/>
      <c r="C4" s="9"/>
      <c r="D4" s="9"/>
      <c r="E4" s="10"/>
      <c r="F4" s="10"/>
      <c r="G4" s="9"/>
      <c r="H4" s="9"/>
      <c r="I4" s="9"/>
    </row>
    <row r="5" spans="2:16" x14ac:dyDescent="0.3">
      <c r="B5" s="14" t="s">
        <v>20</v>
      </c>
      <c r="C5" s="4">
        <v>7125</v>
      </c>
      <c r="D5" s="4"/>
      <c r="E5" s="4">
        <v>8379</v>
      </c>
      <c r="F5" s="4"/>
      <c r="G5" s="8">
        <f>E5-C5</f>
        <v>1254</v>
      </c>
      <c r="H5" s="8"/>
      <c r="I5" s="11">
        <f t="shared" ref="I5:I11" si="0">G5/E5</f>
        <v>0.14965986394557823</v>
      </c>
    </row>
    <row r="6" spans="2:16" x14ac:dyDescent="0.3">
      <c r="B6" s="2" t="s">
        <v>10</v>
      </c>
      <c r="C6" s="4">
        <v>420</v>
      </c>
      <c r="D6" s="4"/>
      <c r="E6" s="4">
        <f>C6*1.176</f>
        <v>493.91999999999996</v>
      </c>
      <c r="F6" s="4"/>
      <c r="G6" s="8">
        <f>E6-C6</f>
        <v>73.919999999999959</v>
      </c>
      <c r="H6" s="8"/>
      <c r="I6" s="11">
        <f t="shared" si="0"/>
        <v>0.14965986394557815</v>
      </c>
      <c r="K6" s="13"/>
      <c r="L6">
        <v>5</v>
      </c>
      <c r="M6" t="s">
        <v>9</v>
      </c>
      <c r="O6">
        <v>180</v>
      </c>
      <c r="P6" t="s">
        <v>16</v>
      </c>
    </row>
    <row r="7" spans="2:16" x14ac:dyDescent="0.3">
      <c r="B7" s="2" t="s">
        <v>11</v>
      </c>
      <c r="C7" s="4">
        <v>3746</v>
      </c>
      <c r="D7" s="4"/>
      <c r="E7" s="4">
        <f>C7*1.176</f>
        <v>4405.2959999999994</v>
      </c>
      <c r="F7" s="4"/>
      <c r="G7" s="8">
        <f>E7-C7</f>
        <v>659.29599999999937</v>
      </c>
      <c r="H7" s="8"/>
      <c r="I7" s="11">
        <f t="shared" si="0"/>
        <v>0.14965986394557812</v>
      </c>
      <c r="L7">
        <v>4</v>
      </c>
      <c r="O7">
        <v>45</v>
      </c>
    </row>
    <row r="8" spans="2:16" x14ac:dyDescent="0.3">
      <c r="B8" s="2" t="s">
        <v>12</v>
      </c>
      <c r="C8" s="4">
        <v>2246</v>
      </c>
      <c r="D8" s="4"/>
      <c r="E8" s="4">
        <f t="shared" ref="E8:E13" si="1">C8*1.176</f>
        <v>2641.2959999999998</v>
      </c>
      <c r="F8" s="4"/>
      <c r="G8" s="8">
        <f>E8-C8</f>
        <v>395.29599999999982</v>
      </c>
      <c r="H8" s="8"/>
      <c r="I8" s="11">
        <f t="shared" si="0"/>
        <v>0.14965986394557818</v>
      </c>
      <c r="L8">
        <v>85</v>
      </c>
      <c r="O8">
        <f>O6*O7</f>
        <v>8100</v>
      </c>
    </row>
    <row r="9" spans="2:16" x14ac:dyDescent="0.3">
      <c r="B9" s="2" t="s">
        <v>21</v>
      </c>
      <c r="C9" s="4">
        <v>8100</v>
      </c>
      <c r="D9" s="4"/>
      <c r="E9" s="4">
        <v>15300</v>
      </c>
      <c r="F9" s="4"/>
      <c r="G9" s="8">
        <f t="shared" ref="G9:G14" si="2">E9-C9</f>
        <v>7200</v>
      </c>
      <c r="H9" s="8"/>
      <c r="I9" s="11">
        <f t="shared" si="0"/>
        <v>0.47058823529411764</v>
      </c>
      <c r="L9">
        <f>L6*L7*L8</f>
        <v>1700</v>
      </c>
      <c r="O9">
        <f>O8*0.05</f>
        <v>405</v>
      </c>
    </row>
    <row r="10" spans="2:16" x14ac:dyDescent="0.3">
      <c r="B10" s="2" t="s">
        <v>22</v>
      </c>
      <c r="C10" s="4">
        <v>2621</v>
      </c>
      <c r="D10" s="4"/>
      <c r="E10" s="4">
        <f>C10*1.176</f>
        <v>3082.2959999999998</v>
      </c>
      <c r="F10" s="4"/>
      <c r="G10" s="8">
        <f t="shared" si="2"/>
        <v>461.29599999999982</v>
      </c>
      <c r="H10" s="8"/>
      <c r="I10" s="11">
        <f t="shared" si="0"/>
        <v>0.14965986394557818</v>
      </c>
    </row>
    <row r="11" spans="2:16" x14ac:dyDescent="0.3">
      <c r="B11" s="2" t="s">
        <v>0</v>
      </c>
      <c r="C11" s="4">
        <v>125</v>
      </c>
      <c r="D11" s="4"/>
      <c r="E11" s="4">
        <v>125</v>
      </c>
      <c r="F11" s="4"/>
      <c r="G11" s="8">
        <f t="shared" si="2"/>
        <v>0</v>
      </c>
      <c r="H11" s="8"/>
      <c r="I11" s="11">
        <f t="shared" si="0"/>
        <v>0</v>
      </c>
    </row>
    <row r="12" spans="2:16" x14ac:dyDescent="0.3">
      <c r="B12" s="2" t="s">
        <v>1</v>
      </c>
      <c r="C12" s="4">
        <v>500</v>
      </c>
      <c r="D12" s="4"/>
      <c r="E12" s="4">
        <f t="shared" si="1"/>
        <v>588</v>
      </c>
      <c r="F12" s="4"/>
      <c r="G12" s="8">
        <f t="shared" si="2"/>
        <v>88</v>
      </c>
      <c r="H12" s="8"/>
      <c r="I12" s="11">
        <f>G12/E12</f>
        <v>0.14965986394557823</v>
      </c>
    </row>
    <row r="13" spans="2:16" x14ac:dyDescent="0.3">
      <c r="B13" s="2" t="s">
        <v>2</v>
      </c>
      <c r="C13" s="4">
        <v>1700</v>
      </c>
      <c r="D13" s="4"/>
      <c r="E13" s="4">
        <f t="shared" si="1"/>
        <v>1999.1999999999998</v>
      </c>
      <c r="F13" s="4"/>
      <c r="G13" s="8">
        <f t="shared" si="2"/>
        <v>299.19999999999982</v>
      </c>
      <c r="H13" s="8"/>
      <c r="I13" s="11">
        <f>G13/E13</f>
        <v>0.14965986394557815</v>
      </c>
    </row>
    <row r="14" spans="2:16" x14ac:dyDescent="0.3">
      <c r="B14" s="2" t="s">
        <v>8</v>
      </c>
      <c r="C14" s="4">
        <v>0</v>
      </c>
      <c r="D14" s="4"/>
      <c r="E14" s="4"/>
      <c r="F14" s="4"/>
      <c r="G14" s="8">
        <f t="shared" si="2"/>
        <v>0</v>
      </c>
      <c r="H14" s="8"/>
      <c r="I14" s="11"/>
    </row>
    <row r="15" spans="2:16" x14ac:dyDescent="0.3">
      <c r="B15" s="2"/>
      <c r="C15" s="4"/>
      <c r="D15" s="4"/>
      <c r="E15" s="4"/>
      <c r="F15" s="4"/>
      <c r="G15" s="8"/>
      <c r="H15" s="8"/>
      <c r="I15" s="11"/>
    </row>
    <row r="16" spans="2:16" ht="15" thickBot="1" x14ac:dyDescent="0.35">
      <c r="B16" s="3"/>
      <c r="C16" s="4"/>
      <c r="D16" s="4"/>
      <c r="E16" s="6"/>
      <c r="F16" s="6"/>
      <c r="G16" s="8"/>
      <c r="H16" s="8"/>
      <c r="I16" s="11"/>
    </row>
    <row r="17" spans="2:9" ht="15" thickTop="1" x14ac:dyDescent="0.3">
      <c r="B17" s="3" t="s">
        <v>3</v>
      </c>
      <c r="C17" s="7">
        <f>SUM(C5:C16)</f>
        <v>26583</v>
      </c>
      <c r="D17" s="4"/>
      <c r="E17" s="7">
        <f>SUM(E5:E16)</f>
        <v>37014.008000000002</v>
      </c>
      <c r="F17" s="6"/>
      <c r="G17" s="7">
        <f>SUM(G5:G16)</f>
        <v>10431.007999999998</v>
      </c>
      <c r="H17" s="6"/>
      <c r="I17" s="11">
        <f>G17/E17</f>
        <v>0.2818124424677273</v>
      </c>
    </row>
    <row r="18" spans="2:9" x14ac:dyDescent="0.3">
      <c r="B18" s="3"/>
      <c r="C18" s="6"/>
      <c r="D18" s="4"/>
      <c r="E18" s="6">
        <v>-1250</v>
      </c>
      <c r="F18" s="6"/>
      <c r="G18" s="6"/>
      <c r="H18" s="6"/>
      <c r="I18" s="11"/>
    </row>
    <row r="19" spans="2:9" x14ac:dyDescent="0.3">
      <c r="B19" s="3"/>
      <c r="C19" s="6"/>
      <c r="D19" s="4"/>
      <c r="E19" s="6">
        <f>E17+E18</f>
        <v>35764.008000000002</v>
      </c>
      <c r="F19" s="6"/>
      <c r="G19" s="6">
        <f>E19-C17</f>
        <v>9181.0080000000016</v>
      </c>
      <c r="H19" s="6"/>
      <c r="I19" s="11">
        <f t="shared" ref="I19" si="3">G19/E19</f>
        <v>0.25671082502833581</v>
      </c>
    </row>
  </sheetData>
  <pageMargins left="0" right="0" top="0.75" bottom="0.75" header="0.3" footer="0.3"/>
  <pageSetup scale="75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4.4" x14ac:dyDescent="0.3"/>
  <cols>
    <col min="3" max="3" width="30.109375" customWidth="1"/>
    <col min="4" max="4" width="16" style="13" customWidth="1"/>
    <col min="6" max="7" width="10.5546875" bestFit="1" customWidth="1"/>
  </cols>
  <sheetData>
    <row r="4" spans="3:7" x14ac:dyDescent="0.3">
      <c r="C4" s="15" t="s">
        <v>13</v>
      </c>
    </row>
    <row r="6" spans="3:7" x14ac:dyDescent="0.3">
      <c r="C6" t="s">
        <v>19</v>
      </c>
      <c r="D6" s="13">
        <v>2850</v>
      </c>
      <c r="F6" s="13">
        <f>D6*0.4</f>
        <v>1140</v>
      </c>
    </row>
    <row r="7" spans="3:7" x14ac:dyDescent="0.3">
      <c r="C7" t="s">
        <v>14</v>
      </c>
      <c r="D7" s="13">
        <v>-720</v>
      </c>
    </row>
    <row r="8" spans="3:7" x14ac:dyDescent="0.3">
      <c r="C8" t="s">
        <v>15</v>
      </c>
      <c r="D8" s="13">
        <v>-712</v>
      </c>
    </row>
    <row r="9" spans="3:7" x14ac:dyDescent="0.3">
      <c r="C9" t="s">
        <v>18</v>
      </c>
      <c r="D9" s="13">
        <v>-500</v>
      </c>
    </row>
    <row r="10" spans="3:7" x14ac:dyDescent="0.3">
      <c r="C10" t="s">
        <v>17</v>
      </c>
      <c r="D10" s="13">
        <f>SUM(D6:D9)</f>
        <v>918</v>
      </c>
      <c r="G10" s="13"/>
    </row>
    <row r="14" spans="3:7" x14ac:dyDescent="0.3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James Bohart</cp:lastModifiedBy>
  <cp:lastPrinted>2017-07-21T13:00:33Z</cp:lastPrinted>
  <dcterms:created xsi:type="dcterms:W3CDTF">2016-10-06T22:22:22Z</dcterms:created>
  <dcterms:modified xsi:type="dcterms:W3CDTF">2017-07-21T13:00:59Z</dcterms:modified>
</cp:coreProperties>
</file>